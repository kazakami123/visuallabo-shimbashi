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" sheetId="1" state="visible" r:id="rId3"/>
    <sheet name="シミュレーション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<sst xmlns="http://schemas.openxmlformats.org/spreadsheetml/2006/main" count="78" uniqueCount="69">
  <si>
    <r>
      <rPr>
        <b val="true"/>
        <sz val="14"/>
        <color rgb="FF16130E"/>
        <rFont val="Arial"/>
        <family val="0"/>
        <charset val="1"/>
      </rPr>
      <t xml:space="preserve">VISUAL LABO</t>
    </r>
    <r>
      <rPr>
        <b val="true"/>
        <sz val="14"/>
        <color rgb="FF16130E"/>
        <rFont val="Noto Sans CJK SC"/>
        <family val="2"/>
      </rPr>
      <t xml:space="preserve">｜専用ジェル経済性シミュレーション</t>
    </r>
  </si>
  <si>
    <t xml:space="preserve">青字＝入力・レバー（変更するとモデル全体が再計算されます）／黄色＝主要レバー</t>
  </si>
  <si>
    <t xml:space="preserve">◤ 単価・原価（粗利は税抜同士で計算）</t>
  </si>
  <si>
    <t xml:space="preserve">ジェル卸価格（税抜）</t>
  </si>
  <si>
    <t xml:space="preserve">サロンへの卸単価。基準</t>
  </si>
  <si>
    <r>
      <rPr>
        <sz val="11"/>
        <color rgb="FF000000"/>
        <rFont val="Noto Sans CJK SC"/>
        <family val="2"/>
      </rPr>
      <t xml:space="preserve">ジェル卸価格（税込</t>
    </r>
    <r>
      <rPr>
        <sz val="11"/>
        <color rgb="FF000000"/>
        <rFont val="Arial"/>
        <family val="0"/>
        <charset val="1"/>
      </rPr>
      <t xml:space="preserve">10%</t>
    </r>
    <r>
      <rPr>
        <sz val="11"/>
        <color rgb="FF000000"/>
        <rFont val="Noto Sans CJK SC"/>
        <family val="2"/>
      </rPr>
      <t xml:space="preserve">）</t>
    </r>
  </si>
  <si>
    <r>
      <rPr>
        <sz val="10"/>
        <color rgb="FF8B857A"/>
        <rFont val="Noto Sans CJK SC"/>
        <family val="2"/>
      </rPr>
      <t xml:space="preserve">税抜</t>
    </r>
    <r>
      <rPr>
        <sz val="10"/>
        <color rgb="FF8B857A"/>
        <rFont val="Arial"/>
        <family val="0"/>
        <charset val="1"/>
      </rPr>
      <t xml:space="preserve">×1.1</t>
    </r>
    <r>
      <rPr>
        <sz val="10"/>
        <color rgb="FF8B857A"/>
        <rFont val="Noto Sans CJK SC"/>
        <family val="2"/>
      </rPr>
      <t xml:space="preserve">（＝</t>
    </r>
    <r>
      <rPr>
        <sz val="10"/>
        <color rgb="FF8B857A"/>
        <rFont val="Arial"/>
        <family val="0"/>
        <charset val="1"/>
      </rPr>
      <t xml:space="preserve">¥5,280</t>
    </r>
    <r>
      <rPr>
        <sz val="10"/>
        <color rgb="FF8B857A"/>
        <rFont val="Noto Sans CJK SC"/>
        <family val="2"/>
      </rPr>
      <t xml:space="preserve">）</t>
    </r>
  </si>
  <si>
    <r>
      <rPr>
        <sz val="11"/>
        <color rgb="FF000000"/>
        <rFont val="Arial"/>
        <family val="0"/>
        <charset val="1"/>
      </rPr>
      <t xml:space="preserve">OEM</t>
    </r>
    <r>
      <rPr>
        <sz val="11"/>
        <color rgb="FF000000"/>
        <rFont val="Noto Sans CJK SC"/>
        <family val="2"/>
      </rPr>
      <t xml:space="preserve">原価・</t>
    </r>
    <r>
      <rPr>
        <sz val="11"/>
        <color rgb="FF000000"/>
        <rFont val="Arial"/>
        <family val="0"/>
        <charset val="1"/>
      </rPr>
      <t xml:space="preserve">1,000</t>
    </r>
    <r>
      <rPr>
        <sz val="11"/>
        <color rgb="FF000000"/>
        <rFont val="Noto Sans CJK SC"/>
        <family val="2"/>
      </rPr>
      <t xml:space="preserve">本ロット（税抜）</t>
    </r>
  </si>
  <si>
    <t xml:space="preserve">大量発注時の仕入原価</t>
  </si>
  <si>
    <r>
      <rPr>
        <sz val="11"/>
        <color rgb="FF000000"/>
        <rFont val="Arial"/>
        <family val="0"/>
        <charset val="1"/>
      </rPr>
      <t xml:space="preserve">OEM</t>
    </r>
    <r>
      <rPr>
        <sz val="11"/>
        <color rgb="FF000000"/>
        <rFont val="Noto Sans CJK SC"/>
        <family val="2"/>
      </rPr>
      <t xml:space="preserve">原価・</t>
    </r>
    <r>
      <rPr>
        <sz val="11"/>
        <color rgb="FF000000"/>
        <rFont val="Arial"/>
        <family val="0"/>
        <charset val="1"/>
      </rPr>
      <t xml:space="preserve">500</t>
    </r>
    <r>
      <rPr>
        <sz val="11"/>
        <color rgb="FF000000"/>
        <rFont val="Noto Sans CJK SC"/>
        <family val="2"/>
      </rPr>
      <t xml:space="preserve">本ロット（税抜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参考）</t>
    </r>
  </si>
  <si>
    <t xml:space="preserve">小ロット時の仕入原価</t>
  </si>
  <si>
    <r>
      <rPr>
        <sz val="11"/>
        <color rgb="FF000000"/>
        <rFont val="Noto Sans CJK SC"/>
        <family val="2"/>
      </rPr>
      <t xml:space="preserve">採用原価（大量発注＝</t>
    </r>
    <r>
      <rPr>
        <sz val="11"/>
        <color rgb="FF000000"/>
        <rFont val="Arial"/>
        <family val="0"/>
        <charset val="1"/>
      </rPr>
      <t xml:space="preserve">1,000</t>
    </r>
    <r>
      <rPr>
        <sz val="11"/>
        <color rgb="FF000000"/>
        <rFont val="Noto Sans CJK SC"/>
        <family val="2"/>
      </rPr>
      <t xml:space="preserve">本ロット）</t>
    </r>
  </si>
  <si>
    <t xml:space="preserve">粗利／本（税抜）</t>
  </si>
  <si>
    <t xml:space="preserve">粗利率</t>
  </si>
  <si>
    <t xml:space="preserve">◤ 消費前提</t>
  </si>
  <si>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本あたり容量（</t>
    </r>
    <r>
      <rPr>
        <sz val="11"/>
        <color rgb="FF000000"/>
        <rFont val="Arial"/>
        <family val="0"/>
        <charset val="1"/>
      </rPr>
      <t xml:space="preserve">ml</t>
    </r>
    <r>
      <rPr>
        <sz val="11"/>
        <color rgb="FF000000"/>
        <rFont val="Noto Sans CJK SC"/>
        <family val="2"/>
      </rPr>
      <t xml:space="preserve">）</t>
    </r>
  </si>
  <si>
    <r>
      <rPr>
        <sz val="10"/>
        <color rgb="FF8B857A"/>
        <rFont val="Arial"/>
        <family val="0"/>
        <charset val="1"/>
      </rPr>
      <t xml:space="preserve">750</t>
    </r>
    <r>
      <rPr>
        <sz val="10"/>
        <color rgb="FF8B857A"/>
        <rFont val="Noto Sans CJK SC"/>
        <family val="2"/>
      </rPr>
      <t xml:space="preserve">〜</t>
    </r>
    <r>
      <rPr>
        <sz val="10"/>
        <color rgb="FF8B857A"/>
        <rFont val="Arial"/>
        <family val="0"/>
        <charset val="1"/>
      </rPr>
      <t xml:space="preserve">800ml</t>
    </r>
    <r>
      <rPr>
        <sz val="10"/>
        <color rgb="FF8B857A"/>
        <rFont val="Noto Sans CJK SC"/>
        <family val="2"/>
      </rPr>
      <t xml:space="preserve">。控えめに</t>
    </r>
    <r>
      <rPr>
        <sz val="10"/>
        <color rgb="FF8B857A"/>
        <rFont val="Arial"/>
        <family val="0"/>
        <charset val="1"/>
      </rPr>
      <t xml:space="preserve">750</t>
    </r>
    <r>
      <rPr>
        <sz val="10"/>
        <color rgb="FF8B857A"/>
        <rFont val="Noto Sans CJK SC"/>
        <family val="2"/>
      </rPr>
      <t xml:space="preserve">で試算</t>
    </r>
  </si>
  <si>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施術あたり使用量（</t>
    </r>
    <r>
      <rPr>
        <sz val="11"/>
        <color rgb="FF000000"/>
        <rFont val="Arial"/>
        <family val="0"/>
        <charset val="1"/>
      </rPr>
      <t xml:space="preserve">ml</t>
    </r>
    <r>
      <rPr>
        <sz val="11"/>
        <color rgb="FF000000"/>
        <rFont val="Noto Sans CJK SC"/>
        <family val="2"/>
      </rPr>
      <t xml:space="preserve">）</t>
    </r>
  </si>
  <si>
    <r>
      <rPr>
        <sz val="10"/>
        <color rgb="FF8B857A"/>
        <rFont val="Arial"/>
        <family val="0"/>
        <charset val="1"/>
      </rPr>
      <t xml:space="preserve">60</t>
    </r>
    <r>
      <rPr>
        <sz val="10"/>
        <color rgb="FF8B857A"/>
        <rFont val="Noto Sans CJK SC"/>
        <family val="2"/>
      </rPr>
      <t xml:space="preserve">分施術で約</t>
    </r>
    <r>
      <rPr>
        <sz val="10"/>
        <color rgb="FF8B857A"/>
        <rFont val="Arial"/>
        <family val="0"/>
        <charset val="1"/>
      </rPr>
      <t xml:space="preserve">30ml</t>
    </r>
  </si>
  <si>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本あたり施術回数</t>
    </r>
  </si>
  <si>
    <r>
      <rPr>
        <sz val="10"/>
        <color rgb="FF8B857A"/>
        <rFont val="Noto Sans CJK SC"/>
        <family val="2"/>
      </rPr>
      <t xml:space="preserve">容量</t>
    </r>
    <r>
      <rPr>
        <sz val="10"/>
        <color rgb="FF8B857A"/>
        <rFont val="Arial"/>
        <family val="0"/>
        <charset val="1"/>
      </rPr>
      <t xml:space="preserve">÷</t>
    </r>
    <r>
      <rPr>
        <sz val="10"/>
        <color rgb="FF8B857A"/>
        <rFont val="Noto Sans CJK SC"/>
        <family val="2"/>
      </rPr>
      <t xml:space="preserve">使用量（＝</t>
    </r>
    <r>
      <rPr>
        <sz val="10"/>
        <color rgb="FF8B857A"/>
        <rFont val="Arial"/>
        <family val="0"/>
        <charset val="1"/>
      </rPr>
      <t xml:space="preserve">25</t>
    </r>
    <r>
      <rPr>
        <sz val="10"/>
        <color rgb="FF8B857A"/>
        <rFont val="Noto Sans CJK SC"/>
        <family val="2"/>
      </rPr>
      <t xml:space="preserve">回）</t>
    </r>
  </si>
  <si>
    <t xml:space="preserve">◤ 導入前提</t>
  </si>
  <si>
    <r>
      <rPr>
        <sz val="11"/>
        <color rgb="FF000000"/>
        <rFont val="Noto Sans CJK SC"/>
        <family val="2"/>
      </rPr>
      <t xml:space="preserve">年間導入目標（台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年）</t>
    </r>
  </si>
  <si>
    <t xml:space="preserve">目標</t>
  </si>
  <si>
    <r>
      <rPr>
        <sz val="11"/>
        <color rgb="FF000000"/>
        <rFont val="Noto Sans CJK SC"/>
        <family val="2"/>
      </rPr>
      <t xml:space="preserve">月次導入ペース（台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月）</t>
    </r>
  </si>
  <si>
    <r>
      <rPr>
        <sz val="10"/>
        <color rgb="FF8B857A"/>
        <rFont val="Arial"/>
        <family val="0"/>
        <charset val="1"/>
      </rPr>
      <t xml:space="preserve">300÷12</t>
    </r>
    <r>
      <rPr>
        <sz val="10"/>
        <color rgb="FF8B857A"/>
        <rFont val="Noto Sans CJK SC"/>
        <family val="2"/>
      </rPr>
      <t xml:space="preserve">（＝</t>
    </r>
    <r>
      <rPr>
        <sz val="10"/>
        <color rgb="FF8B857A"/>
        <rFont val="Arial"/>
        <family val="0"/>
        <charset val="1"/>
      </rPr>
      <t xml:space="preserve">25</t>
    </r>
    <r>
      <rPr>
        <sz val="10"/>
        <color rgb="FF8B857A"/>
        <rFont val="Noto Sans CJK SC"/>
        <family val="2"/>
      </rPr>
      <t xml:space="preserve">台</t>
    </r>
    <r>
      <rPr>
        <sz val="10"/>
        <color rgb="FF8B857A"/>
        <rFont val="Arial"/>
        <family val="0"/>
        <charset val="1"/>
      </rPr>
      <t xml:space="preserve">/</t>
    </r>
    <r>
      <rPr>
        <sz val="10"/>
        <color rgb="FF8B857A"/>
        <rFont val="Noto Sans CJK SC"/>
        <family val="2"/>
      </rPr>
      <t xml:space="preserve">月）</t>
    </r>
  </si>
  <si>
    <r>
      <rPr>
        <sz val="11"/>
        <color rgb="FF000000"/>
        <rFont val="Noto Sans CJK SC"/>
        <family val="2"/>
      </rPr>
      <t xml:space="preserve">機械リース（円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台・参考）</t>
    </r>
  </si>
  <si>
    <r>
      <rPr>
        <sz val="10"/>
        <color rgb="FF8B857A"/>
        <rFont val="Arial"/>
        <family val="0"/>
        <charset val="1"/>
      </rPr>
      <t xml:space="preserve">6</t>
    </r>
    <r>
      <rPr>
        <sz val="10"/>
        <color rgb="FF8B857A"/>
        <rFont val="Noto Sans CJK SC"/>
        <family val="2"/>
      </rPr>
      <t xml:space="preserve">カ月後〜の月額課金。</t>
    </r>
    <r>
      <rPr>
        <sz val="10"/>
        <color rgb="FF8B857A"/>
        <rFont val="Arial"/>
        <family val="0"/>
        <charset val="1"/>
      </rPr>
      <t xml:space="preserve">ToB</t>
    </r>
    <r>
      <rPr>
        <sz val="10"/>
        <color rgb="FF8B857A"/>
        <rFont val="Noto Sans CJK SC"/>
        <family val="2"/>
      </rPr>
      <t xml:space="preserve">継続の参考値</t>
    </r>
  </si>
  <si>
    <r>
      <rPr>
        <sz val="11"/>
        <color rgb="FF000000"/>
        <rFont val="Noto Sans CJK SC"/>
        <family val="2"/>
      </rPr>
      <t xml:space="preserve">採用稼働（施術回数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台）</t>
    </r>
  </si>
  <si>
    <r>
      <rPr>
        <sz val="10"/>
        <color rgb="FF8B857A"/>
        <rFont val="Arial"/>
        <family val="0"/>
        <charset val="1"/>
      </rPr>
      <t xml:space="preserve">3</t>
    </r>
    <r>
      <rPr>
        <sz val="10"/>
        <color rgb="FF8B857A"/>
        <rFont val="Noto Sans CJK SC"/>
        <family val="2"/>
      </rPr>
      <t xml:space="preserve">年試算に使用。標準</t>
    </r>
    <r>
      <rPr>
        <sz val="10"/>
        <color rgb="FF8B857A"/>
        <rFont val="Arial"/>
        <family val="0"/>
        <charset val="1"/>
      </rPr>
      <t xml:space="preserve">=88</t>
    </r>
    <r>
      <rPr>
        <sz val="10"/>
        <color rgb="FF8B857A"/>
        <rFont val="Noto Sans CJK SC"/>
        <family val="2"/>
      </rPr>
      <t xml:space="preserve">（</t>
    </r>
    <r>
      <rPr>
        <sz val="10"/>
        <color rgb="FF8B857A"/>
        <rFont val="Arial"/>
        <family val="0"/>
        <charset val="1"/>
      </rPr>
      <t xml:space="preserve">4</t>
    </r>
    <r>
      <rPr>
        <sz val="10"/>
        <color rgb="FF8B857A"/>
        <rFont val="Noto Sans CJK SC"/>
        <family val="2"/>
      </rPr>
      <t xml:space="preserve">回</t>
    </r>
    <r>
      <rPr>
        <sz val="10"/>
        <color rgb="FF8B857A"/>
        <rFont val="Arial"/>
        <family val="0"/>
        <charset val="1"/>
      </rPr>
      <t xml:space="preserve">/</t>
    </r>
    <r>
      <rPr>
        <sz val="10"/>
        <color rgb="FF8B857A"/>
        <rFont val="Noto Sans CJK SC"/>
        <family val="2"/>
      </rPr>
      <t xml:space="preserve">日</t>
    </r>
    <r>
      <rPr>
        <sz val="10"/>
        <color rgb="FF8B857A"/>
        <rFont val="Arial"/>
        <family val="0"/>
        <charset val="1"/>
      </rPr>
      <t xml:space="preserve">×22</t>
    </r>
    <r>
      <rPr>
        <sz val="10"/>
        <color rgb="FF8B857A"/>
        <rFont val="Noto Sans CJK SC"/>
        <family val="2"/>
      </rPr>
      <t xml:space="preserve">日）。控えめ</t>
    </r>
    <r>
      <rPr>
        <sz val="10"/>
        <color rgb="FF8B857A"/>
        <rFont val="Arial"/>
        <family val="0"/>
        <charset val="1"/>
      </rPr>
      <t xml:space="preserve">=44</t>
    </r>
    <r>
      <rPr>
        <sz val="10"/>
        <color rgb="FF8B857A"/>
        <rFont val="Noto Sans CJK SC"/>
        <family val="2"/>
      </rPr>
      <t xml:space="preserve">／高稼働</t>
    </r>
    <r>
      <rPr>
        <sz val="10"/>
        <color rgb="FF8B857A"/>
        <rFont val="Arial"/>
        <family val="0"/>
        <charset val="1"/>
      </rPr>
      <t xml:space="preserve">=200</t>
    </r>
    <r>
      <rPr>
        <sz val="10"/>
        <color rgb="FF8B857A"/>
        <rFont val="Noto Sans CJK SC"/>
        <family val="2"/>
      </rPr>
      <t xml:space="preserve">に変更可</t>
    </r>
  </si>
  <si>
    <r>
      <rPr>
        <b val="true"/>
        <sz val="11"/>
        <rFont val="Noto Sans CJK SC"/>
        <family val="2"/>
      </rPr>
      <t xml:space="preserve">◤ 稼働シナリオ（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台あたり月次・年次）</t>
    </r>
  </si>
  <si>
    <t xml:space="preserve">シナリオ</t>
  </si>
  <si>
    <r>
      <rPr>
        <b val="true"/>
        <sz val="11"/>
        <color rgb="FFFFFFFF"/>
        <rFont val="Noto Sans CJK SC"/>
        <family val="2"/>
      </rPr>
      <t xml:space="preserve">回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</si>
  <si>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Noto Sans CJK SC"/>
        <family val="2"/>
      </rPr>
      <t xml:space="preserve">稼働日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</si>
  <si>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施術回数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</si>
  <si>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消費本数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</si>
  <si>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ジェル売上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税抜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</si>
  <si>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ジェル粗利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</si>
  <si>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年間ジェル粗利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台</t>
    </r>
  </si>
  <si>
    <t xml:space="preserve">控えめ</t>
  </si>
  <si>
    <t xml:space="preserve">標準（採用）</t>
  </si>
  <si>
    <t xml:space="preserve">高稼働</t>
  </si>
  <si>
    <r>
      <rPr>
        <sz val="10"/>
        <color rgb="FF8B857A"/>
        <rFont val="Noto Sans CJK SC"/>
        <family val="2"/>
      </rPr>
      <t xml:space="preserve">※粗利は税抜（消費税は預り／仕払いで相殺のため）。原価は大量発注（</t>
    </r>
    <r>
      <rPr>
        <sz val="10"/>
        <color rgb="FF8B857A"/>
        <rFont val="Arial"/>
        <family val="0"/>
        <charset val="1"/>
      </rPr>
      <t xml:space="preserve">1,000</t>
    </r>
    <r>
      <rPr>
        <sz val="10"/>
        <color rgb="FF8B857A"/>
        <rFont val="Noto Sans CJK SC"/>
        <family val="2"/>
      </rPr>
      <t xml:space="preserve">本ロット）を採用。</t>
    </r>
  </si>
  <si>
    <r>
      <rPr>
        <b val="true"/>
        <sz val="14"/>
        <color rgb="FF16130E"/>
        <rFont val="Noto Sans CJK SC"/>
        <family val="2"/>
      </rPr>
      <t xml:space="preserve">全体シミュレーション（</t>
    </r>
    <r>
      <rPr>
        <b val="true"/>
        <sz val="14"/>
        <color rgb="FF16130E"/>
        <rFont val="Arial"/>
        <family val="0"/>
        <charset val="1"/>
      </rPr>
      <t xml:space="preserve">300</t>
    </r>
    <r>
      <rPr>
        <b val="true"/>
        <sz val="14"/>
        <color rgb="FF16130E"/>
        <rFont val="Noto Sans CJK SC"/>
        <family val="2"/>
      </rPr>
      <t xml:space="preserve">台目標）</t>
    </r>
  </si>
  <si>
    <t xml:space="preserve">前提シートの値を変えると自動再計算されます。</t>
  </si>
  <si>
    <r>
      <rPr>
        <b val="true"/>
        <sz val="11"/>
        <rFont val="Arial"/>
        <family val="0"/>
        <charset val="1"/>
      </rPr>
      <t xml:space="preserve">◤ A. 300</t>
    </r>
    <r>
      <rPr>
        <b val="true"/>
        <sz val="11"/>
        <rFont val="Noto Sans CJK SC"/>
        <family val="2"/>
      </rPr>
      <t xml:space="preserve">台フル稼働時の年間ランレート（シナリオ別）</t>
    </r>
  </si>
  <si>
    <t xml:space="preserve">導入台数</t>
  </si>
  <si>
    <r>
      <rPr>
        <b val="true"/>
        <sz val="11"/>
        <color rgb="FFFFFFFF"/>
        <rFont val="Noto Sans CJK SC"/>
        <family val="2"/>
      </rPr>
      <t xml:space="preserve">ジェル売上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</si>
  <si>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ジェル売上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年</t>
    </r>
  </si>
  <si>
    <r>
      <rPr>
        <b val="true"/>
        <sz val="11"/>
        <color rgb="FFFFFFFF"/>
        <rFont val="Noto Sans CJK SC"/>
        <family val="2"/>
      </rPr>
      <t xml:space="preserve">ジェル粗利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年</t>
    </r>
  </si>
  <si>
    <r>
      <rPr>
        <b val="true"/>
        <sz val="11"/>
        <color rgb="FFFFFFFF"/>
        <rFont val="Noto Sans CJK SC"/>
        <family val="2"/>
      </rPr>
      <t xml:space="preserve">機械リース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参考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</si>
  <si>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継続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粗利</t>
    </r>
    <r>
      <rPr>
        <b val="true"/>
        <sz val="11"/>
        <color rgb="FFFFFFFF"/>
        <rFont val="Arial"/>
        <family val="0"/>
        <charset val="1"/>
      </rPr>
      <t xml:space="preserve">+</t>
    </r>
    <r>
      <rPr>
        <b val="true"/>
        <sz val="11"/>
        <color rgb="FFFFFFFF"/>
        <rFont val="Noto Sans CJK SC"/>
        <family val="2"/>
      </rPr>
      <t xml:space="preserve">リース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</si>
  <si>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標準</t>
  </si>
  <si>
    <r>
      <rPr>
        <sz val="10"/>
        <color rgb="FF8B857A"/>
        <rFont val="Noto Sans CJK SC"/>
        <family val="2"/>
      </rPr>
      <t xml:space="preserve">※フル稼働＝</t>
    </r>
    <r>
      <rPr>
        <sz val="10"/>
        <color rgb="FF8B857A"/>
        <rFont val="Arial"/>
        <family val="0"/>
        <charset val="1"/>
      </rPr>
      <t xml:space="preserve">300</t>
    </r>
    <r>
      <rPr>
        <sz val="10"/>
        <color rgb="FF8B857A"/>
        <rFont val="Noto Sans CJK SC"/>
        <family val="2"/>
      </rPr>
      <t xml:space="preserve">台が全て稼働している定常状態（導入完了後）の年換算。リースは全台が月額</t>
    </r>
    <r>
      <rPr>
        <sz val="10"/>
        <color rgb="FF8B857A"/>
        <rFont val="Arial"/>
        <family val="0"/>
        <charset val="1"/>
      </rPr>
      <t xml:space="preserve">(¥55,000)</t>
    </r>
    <r>
      <rPr>
        <sz val="10"/>
        <color rgb="FF8B857A"/>
        <rFont val="Noto Sans CJK SC"/>
        <family val="2"/>
      </rPr>
      <t xml:space="preserve">前提。</t>
    </r>
  </si>
  <si>
    <r>
      <rPr>
        <b val="true"/>
        <sz val="11"/>
        <rFont val="Arial"/>
        <family val="0"/>
        <charset val="1"/>
      </rPr>
      <t xml:space="preserve">◤ B. 3</t>
    </r>
    <r>
      <rPr>
        <b val="true"/>
        <sz val="11"/>
        <rFont val="Noto Sans CJK SC"/>
        <family val="2"/>
      </rPr>
      <t xml:space="preserve">年 継続収益シミュレーション（月</t>
    </r>
    <r>
      <rPr>
        <b val="true"/>
        <sz val="11"/>
        <rFont val="Arial"/>
        <family val="0"/>
        <charset val="1"/>
      </rPr>
      <t xml:space="preserve">25</t>
    </r>
    <r>
      <rPr>
        <b val="true"/>
        <sz val="11"/>
        <rFont val="Noto Sans CJK SC"/>
        <family val="2"/>
      </rPr>
      <t xml:space="preserve">台導入・採用稼働）</t>
    </r>
  </si>
  <si>
    <t xml:space="preserve">期末累計台数</t>
  </si>
  <si>
    <t xml:space="preserve">ジェル売上</t>
  </si>
  <si>
    <t xml:space="preserve">ジェル粗利</t>
  </si>
  <si>
    <t xml:space="preserve">機械リース</t>
  </si>
  <si>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継続計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粗利</t>
    </r>
    <r>
      <rPr>
        <b val="true"/>
        <sz val="11"/>
        <color rgb="FFFFFFFF"/>
        <rFont val="Arial"/>
        <family val="0"/>
        <charset val="1"/>
      </rPr>
      <t xml:space="preserve">+</t>
    </r>
    <r>
      <rPr>
        <b val="true"/>
        <sz val="11"/>
        <color rgb="FFFFFFFF"/>
        <rFont val="Noto Sans CJK SC"/>
        <family val="2"/>
      </rPr>
      <t xml:space="preserve">リース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</si>
  <si>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年目</t>
    </r>
  </si>
  <si>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年目</t>
    </r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</si>
  <si>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年目</t>
    </r>
  </si>
  <si>
    <r>
      <rPr>
        <sz val="10"/>
        <color rgb="FF8B857A"/>
        <rFont val="Noto Sans CJK SC"/>
        <family val="2"/>
      </rPr>
      <t xml:space="preserve">※月</t>
    </r>
    <r>
      <rPr>
        <sz val="10"/>
        <color rgb="FF8B857A"/>
        <rFont val="Arial"/>
        <family val="0"/>
        <charset val="1"/>
      </rPr>
      <t xml:space="preserve">25</t>
    </r>
    <r>
      <rPr>
        <sz val="10"/>
        <color rgb="FF8B857A"/>
        <rFont val="Noto Sans CJK SC"/>
        <family val="2"/>
      </rPr>
      <t xml:space="preserve">台を</t>
    </r>
    <r>
      <rPr>
        <sz val="10"/>
        <color rgb="FF8B857A"/>
        <rFont val="Arial"/>
        <family val="0"/>
        <charset val="1"/>
      </rPr>
      <t xml:space="preserve">3</t>
    </r>
    <r>
      <rPr>
        <sz val="10"/>
        <color rgb="FF8B857A"/>
        <rFont val="Noto Sans CJK SC"/>
        <family val="2"/>
      </rPr>
      <t xml:space="preserve">年継続導入し全台が稼働・継続（解約なし）と仮定。実際は解約率・稼働率で変動。</t>
    </r>
  </si>
  <si>
    <t xml:space="preserve">月</t>
  </si>
  <si>
    <t xml:space="preserve">新規導入</t>
  </si>
  <si>
    <t xml:space="preserve">累計台数</t>
  </si>
  <si>
    <r>
      <rPr>
        <b val="true"/>
        <sz val="11"/>
        <color rgb="FFFFFFFF"/>
        <rFont val="Noto Sans CJK SC"/>
        <family val="2"/>
      </rPr>
      <t xml:space="preserve">ジェル売上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税抜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</si>
  <si>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継続計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</si>
</sst>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¥#,##0"/>
    <numFmt numFmtId="166" formatCode="0.0%"/>
    <numFmt numFmtId="167" formatCode="#,##0"/>
    <numFmt numFmtId="168" formatCode="#,##0.0"/>
    <numFmt numFmtId="169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130E"/>
      <name val="Arial"/>
      <family val="0"/>
      <charset val="1"/>
    </font>
    <font>
      <b val="true"/>
      <sz val="14"/>
      <color rgb="FF16130E"/>
      <name val="Noto Sans CJK SC"/>
      <family val="2"/>
    </font>
    <font>
      <sz val="10"/>
      <color rgb="FF8B857A"/>
      <name val="Noto Sans CJK SC"/>
      <family val="2"/>
    </font>
    <font>
      <b val="true"/>
      <sz val="11"/>
      <name val="Noto Sans CJK SC"/>
      <family val="2"/>
    </font>
    <font>
      <sz val="11"/>
      <color rgb="FF000000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8B857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5F2EA"/>
      </patternFill>
    </fill>
    <fill>
      <patternFill patternType="solid">
        <fgColor rgb="FF16130E"/>
        <bgColor rgb="FF000000"/>
      </patternFill>
    </fill>
    <fill>
      <patternFill patternType="solid">
        <fgColor rgb="FFF5F2EA"/>
        <bgColor rgb="FFFFF2CC"/>
      </patternFill>
    </fill>
    <fill>
      <patternFill patternType="solid">
        <fgColor rgb="FFC9A768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7"/>
      <rgbColor rgb="FF8B857A"/>
      <rgbColor rgb="FF9999FF"/>
      <rgbColor rgb="FF993366"/>
      <rgbColor rgb="FFFFF2CC"/>
      <rgbColor rgb="FFF5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768"/>
      <rgbColor rgb="FF003366"/>
      <rgbColor rgb="FF339966"/>
      <rgbColor rgb="FF16130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4800</v>
      </c>
      <c r="C5" s="6" t="s">
        <v>4</v>
      </c>
    </row>
    <row r="6" customFormat="false" ht="17.15" hidden="false" customHeight="false" outlineLevel="0" collapsed="false">
      <c r="A6" s="4" t="s">
        <v>5</v>
      </c>
      <c r="B6" s="7" t="n">
        <f aca="false">B5*1.1</f>
        <v>5280</v>
      </c>
      <c r="C6" s="6" t="s">
        <v>6</v>
      </c>
    </row>
    <row r="7" customFormat="false" ht="17.15" hidden="false" customHeight="false" outlineLevel="0" collapsed="false">
      <c r="A7" s="8" t="s">
        <v>7</v>
      </c>
      <c r="B7" s="5" t="n">
        <v>1800</v>
      </c>
      <c r="C7" s="6" t="s">
        <v>8</v>
      </c>
    </row>
    <row r="8" customFormat="false" ht="17.15" hidden="false" customHeight="false" outlineLevel="0" collapsed="false">
      <c r="A8" s="8" t="s">
        <v>9</v>
      </c>
      <c r="B8" s="5" t="n">
        <v>2100</v>
      </c>
      <c r="C8" s="6" t="s">
        <v>10</v>
      </c>
    </row>
    <row r="9" customFormat="false" ht="17.15" hidden="false" customHeight="false" outlineLevel="0" collapsed="false">
      <c r="A9" s="4" t="s">
        <v>11</v>
      </c>
      <c r="B9" s="7" t="n">
        <f aca="false">B7</f>
        <v>1800</v>
      </c>
    </row>
    <row r="10" customFormat="false" ht="15" hidden="false" customHeight="false" outlineLevel="0" collapsed="false">
      <c r="A10" s="4" t="s">
        <v>12</v>
      </c>
      <c r="B10" s="7" t="n">
        <f aca="false">B5-B9</f>
        <v>3000</v>
      </c>
    </row>
    <row r="11" customFormat="false" ht="15" hidden="false" customHeight="false" outlineLevel="0" collapsed="false">
      <c r="A11" s="4" t="s">
        <v>13</v>
      </c>
      <c r="B11" s="9" t="n">
        <f aca="false">B10/B5</f>
        <v>0.625</v>
      </c>
    </row>
    <row r="13" customFormat="false" ht="15" hidden="false" customHeight="false" outlineLevel="0" collapsed="false">
      <c r="A13" s="3" t="s">
        <v>14</v>
      </c>
    </row>
    <row r="14" customFormat="false" ht="17.15" hidden="false" customHeight="false" outlineLevel="0" collapsed="false">
      <c r="A14" s="8" t="s">
        <v>15</v>
      </c>
      <c r="B14" s="10" t="n">
        <v>750</v>
      </c>
      <c r="C14" s="11" t="s">
        <v>16</v>
      </c>
    </row>
    <row r="15" customFormat="false" ht="17.15" hidden="false" customHeight="false" outlineLevel="0" collapsed="false">
      <c r="A15" s="8" t="s">
        <v>17</v>
      </c>
      <c r="B15" s="10" t="n">
        <v>30</v>
      </c>
      <c r="C15" s="11" t="s">
        <v>18</v>
      </c>
    </row>
    <row r="16" customFormat="false" ht="17.15" hidden="false" customHeight="false" outlineLevel="0" collapsed="false">
      <c r="A16" s="8" t="s">
        <v>19</v>
      </c>
      <c r="B16" s="12" t="n">
        <f aca="false">B14/B15</f>
        <v>25</v>
      </c>
      <c r="C16" s="6" t="s">
        <v>20</v>
      </c>
    </row>
    <row r="18" customFormat="false" ht="15" hidden="false" customHeight="false" outlineLevel="0" collapsed="false">
      <c r="A18" s="3" t="s">
        <v>21</v>
      </c>
    </row>
    <row r="19" customFormat="false" ht="17.15" hidden="false" customHeight="false" outlineLevel="0" collapsed="false">
      <c r="A19" s="4" t="s">
        <v>22</v>
      </c>
      <c r="B19" s="10" t="n">
        <v>300</v>
      </c>
      <c r="C19" s="6" t="s">
        <v>23</v>
      </c>
    </row>
    <row r="20" customFormat="false" ht="17.15" hidden="false" customHeight="false" outlineLevel="0" collapsed="false">
      <c r="A20" s="4" t="s">
        <v>24</v>
      </c>
      <c r="B20" s="12" t="n">
        <f aca="false">B19/12</f>
        <v>25</v>
      </c>
      <c r="C20" s="11" t="s">
        <v>25</v>
      </c>
    </row>
    <row r="21" customFormat="false" ht="17.15" hidden="false" customHeight="false" outlineLevel="0" collapsed="false">
      <c r="A21" s="4" t="s">
        <v>26</v>
      </c>
      <c r="B21" s="5" t="n">
        <v>55000</v>
      </c>
      <c r="C21" s="11" t="s">
        <v>27</v>
      </c>
    </row>
    <row r="23" customFormat="false" ht="17.15" hidden="false" customHeight="false" outlineLevel="0" collapsed="false">
      <c r="A23" s="4" t="s">
        <v>28</v>
      </c>
      <c r="B23" s="13" t="n">
        <v>88</v>
      </c>
      <c r="C23" s="11" t="s">
        <v>29</v>
      </c>
    </row>
    <row r="26" customFormat="false" ht="17.15" hidden="false" customHeight="false" outlineLevel="0" collapsed="false">
      <c r="A26" s="3" t="s">
        <v>30</v>
      </c>
    </row>
    <row r="27" customFormat="false" ht="17.15" hidden="false" customHeight="false" outlineLevel="0" collapsed="false">
      <c r="A27" s="14" t="s">
        <v>31</v>
      </c>
      <c r="B27" s="14" t="s">
        <v>32</v>
      </c>
      <c r="C27" s="14" t="s">
        <v>33</v>
      </c>
      <c r="D27" s="14" t="s">
        <v>34</v>
      </c>
      <c r="E27" s="14" t="s">
        <v>35</v>
      </c>
      <c r="F27" s="14" t="s">
        <v>36</v>
      </c>
      <c r="G27" s="14" t="s">
        <v>37</v>
      </c>
      <c r="H27" s="14" t="s">
        <v>38</v>
      </c>
    </row>
    <row r="28" customFormat="false" ht="15" hidden="false" customHeight="false" outlineLevel="0" collapsed="false">
      <c r="A28" s="15" t="s">
        <v>39</v>
      </c>
      <c r="B28" s="16" t="n">
        <v>2</v>
      </c>
      <c r="C28" s="16" t="n">
        <v>22</v>
      </c>
      <c r="D28" s="17" t="n">
        <f aca="false">B28*C28</f>
        <v>44</v>
      </c>
      <c r="E28" s="18" t="n">
        <f aca="false">D28*$B$15/$B$14</f>
        <v>1.76</v>
      </c>
      <c r="F28" s="19" t="n">
        <f aca="false">E28*$B$5</f>
        <v>8448</v>
      </c>
      <c r="G28" s="19" t="n">
        <f aca="false">E28*$B$10</f>
        <v>5280</v>
      </c>
      <c r="H28" s="19" t="n">
        <f aca="false">G28*12</f>
        <v>63360</v>
      </c>
    </row>
    <row r="29" customFormat="false" ht="15" hidden="false" customHeight="false" outlineLevel="0" collapsed="false">
      <c r="A29" s="15" t="s">
        <v>40</v>
      </c>
      <c r="B29" s="16" t="n">
        <v>4</v>
      </c>
      <c r="C29" s="16" t="n">
        <v>22</v>
      </c>
      <c r="D29" s="17" t="n">
        <f aca="false">B29*C29</f>
        <v>88</v>
      </c>
      <c r="E29" s="18" t="n">
        <f aca="false">D29*$B$15/$B$14</f>
        <v>3.52</v>
      </c>
      <c r="F29" s="19" t="n">
        <f aca="false">E29*$B$5</f>
        <v>16896</v>
      </c>
      <c r="G29" s="19" t="n">
        <f aca="false">E29*$B$10</f>
        <v>10560</v>
      </c>
      <c r="H29" s="19" t="n">
        <f aca="false">G29*12</f>
        <v>126720</v>
      </c>
    </row>
    <row r="30" customFormat="false" ht="15" hidden="false" customHeight="false" outlineLevel="0" collapsed="false">
      <c r="A30" s="15" t="s">
        <v>41</v>
      </c>
      <c r="B30" s="16" t="n">
        <v>8</v>
      </c>
      <c r="C30" s="16" t="n">
        <v>25</v>
      </c>
      <c r="D30" s="17" t="n">
        <f aca="false">B30*C30</f>
        <v>200</v>
      </c>
      <c r="E30" s="18" t="n">
        <f aca="false">D30*$B$15/$B$14</f>
        <v>8</v>
      </c>
      <c r="F30" s="19" t="n">
        <f aca="false">E30*$B$5</f>
        <v>38400</v>
      </c>
      <c r="G30" s="19" t="n">
        <f aca="false">E30*$B$10</f>
        <v>24000</v>
      </c>
      <c r="H30" s="19" t="n">
        <f aca="false">G30*12</f>
        <v>288000</v>
      </c>
    </row>
    <row r="32" customFormat="false" ht="15" hidden="false" customHeight="false" outlineLevel="0" collapsed="false">
      <c r="A32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4"/>
    <col collapsed="false" customWidth="true" hidden="false" outlineLevel="0" max="8" min="6" style="0" width="16"/>
    <col collapsed="false" customWidth="true" hidden="false" outlineLevel="0" max="9" min="9" style="0" width="20"/>
  </cols>
  <sheetData>
    <row r="1" customFormat="false" ht="21.6" hidden="false" customHeight="false" outlineLevel="0" collapsed="false">
      <c r="A1" s="20" t="s">
        <v>43</v>
      </c>
    </row>
    <row r="2" customFormat="false" ht="15" hidden="false" customHeight="false" outlineLevel="0" collapsed="false">
      <c r="A2" s="2" t="s">
        <v>44</v>
      </c>
    </row>
    <row r="4" customFormat="false" ht="17.15" hidden="false" customHeight="false" outlineLevel="0" collapsed="false">
      <c r="A4" s="21" t="s">
        <v>45</v>
      </c>
    </row>
    <row r="6" customFormat="false" ht="17.15" hidden="false" customHeight="false" outlineLevel="0" collapsed="false">
      <c r="A6" s="14" t="s">
        <v>31</v>
      </c>
      <c r="B6" s="14" t="s">
        <v>46</v>
      </c>
      <c r="C6" s="14" t="s">
        <v>35</v>
      </c>
      <c r="D6" s="14" t="s">
        <v>47</v>
      </c>
      <c r="E6" s="14" t="s">
        <v>37</v>
      </c>
      <c r="F6" s="14" t="s">
        <v>48</v>
      </c>
      <c r="G6" s="14" t="s">
        <v>49</v>
      </c>
      <c r="H6" s="14" t="s">
        <v>50</v>
      </c>
      <c r="I6" s="22" t="s">
        <v>51</v>
      </c>
    </row>
    <row r="7" customFormat="false" ht="15" hidden="false" customHeight="false" outlineLevel="0" collapsed="false">
      <c r="A7" s="15" t="s">
        <v>39</v>
      </c>
      <c r="B7" s="17" t="n">
        <f aca="false">前提!$B$19</f>
        <v>300</v>
      </c>
      <c r="C7" s="17" t="n">
        <f aca="false">$B7*前提!E28</f>
        <v>528</v>
      </c>
      <c r="D7" s="19" t="n">
        <f aca="false">$B7*前提!F28</f>
        <v>2534400</v>
      </c>
      <c r="E7" s="19" t="n">
        <f aca="false">$B7*前提!G28</f>
        <v>1584000</v>
      </c>
      <c r="F7" s="19" t="n">
        <f aca="false">D7*12</f>
        <v>30412800</v>
      </c>
      <c r="G7" s="19" t="n">
        <f aca="false">E7*12</f>
        <v>19008000</v>
      </c>
      <c r="H7" s="19" t="n">
        <f aca="false">$B7*前提!$B$21*12</f>
        <v>198000000</v>
      </c>
      <c r="I7" s="19" t="n">
        <f aca="false">G7+H7</f>
        <v>217008000</v>
      </c>
    </row>
    <row r="8" customFormat="false" ht="15" hidden="false" customHeight="false" outlineLevel="0" collapsed="false">
      <c r="A8" s="23" t="s">
        <v>52</v>
      </c>
      <c r="B8" s="24" t="n">
        <f aca="false">前提!$B$19</f>
        <v>300</v>
      </c>
      <c r="C8" s="24" t="n">
        <f aca="false">$B8*前提!E29</f>
        <v>1056</v>
      </c>
      <c r="D8" s="25" t="n">
        <f aca="false">$B8*前提!F29</f>
        <v>5068800</v>
      </c>
      <c r="E8" s="25" t="n">
        <f aca="false">$B8*前提!G29</f>
        <v>3168000</v>
      </c>
      <c r="F8" s="25" t="n">
        <f aca="false">D8*12</f>
        <v>60825600</v>
      </c>
      <c r="G8" s="25" t="n">
        <f aca="false">E8*12</f>
        <v>38016000</v>
      </c>
      <c r="H8" s="25" t="n">
        <f aca="false">$B8*前提!$B$21*12</f>
        <v>198000000</v>
      </c>
      <c r="I8" s="25" t="n">
        <f aca="false">G8+H8</f>
        <v>236016000</v>
      </c>
    </row>
    <row r="9" customFormat="false" ht="15" hidden="false" customHeight="false" outlineLevel="0" collapsed="false">
      <c r="A9" s="15" t="s">
        <v>41</v>
      </c>
      <c r="B9" s="17" t="n">
        <f aca="false">前提!$B$19</f>
        <v>300</v>
      </c>
      <c r="C9" s="17" t="n">
        <f aca="false">$B9*前提!E30</f>
        <v>2400</v>
      </c>
      <c r="D9" s="19" t="n">
        <f aca="false">$B9*前提!F30</f>
        <v>11520000</v>
      </c>
      <c r="E9" s="19" t="n">
        <f aca="false">$B9*前提!G30</f>
        <v>7200000</v>
      </c>
      <c r="F9" s="19" t="n">
        <f aca="false">D9*12</f>
        <v>138240000</v>
      </c>
      <c r="G9" s="19" t="n">
        <f aca="false">E9*12</f>
        <v>86400000</v>
      </c>
      <c r="H9" s="19" t="n">
        <f aca="false">$B9*前提!$B$21*12</f>
        <v>198000000</v>
      </c>
      <c r="I9" s="19" t="n">
        <f aca="false">G9+H9</f>
        <v>284400000</v>
      </c>
    </row>
    <row r="11" customFormat="false" ht="15" hidden="false" customHeight="false" outlineLevel="0" collapsed="false">
      <c r="A11" s="2" t="s">
        <v>53</v>
      </c>
    </row>
    <row r="14" customFormat="false" ht="17.15" hidden="false" customHeight="false" outlineLevel="0" collapsed="false">
      <c r="A14" s="21" t="s">
        <v>54</v>
      </c>
    </row>
    <row r="16" customFormat="false" ht="17.15" hidden="false" customHeight="false" outlineLevel="0" collapsed="false">
      <c r="A16" s="14"/>
      <c r="B16" s="14" t="s">
        <v>55</v>
      </c>
      <c r="C16" s="14" t="s">
        <v>56</v>
      </c>
      <c r="D16" s="14" t="s">
        <v>57</v>
      </c>
      <c r="E16" s="14" t="s">
        <v>58</v>
      </c>
      <c r="F16" s="22" t="s">
        <v>59</v>
      </c>
    </row>
    <row r="17" customFormat="false" ht="17.15" hidden="false" customHeight="false" outlineLevel="0" collapsed="false">
      <c r="A17" s="26" t="s">
        <v>60</v>
      </c>
      <c r="B17" s="17" t="n">
        <f aca="false">C33</f>
        <v>300</v>
      </c>
      <c r="C17" s="19" t="n">
        <f aca="false">SUM(F22:F33)</f>
        <v>32947200</v>
      </c>
      <c r="D17" s="19" t="n">
        <f aca="false">SUM(G22:G33)</f>
        <v>20592000</v>
      </c>
      <c r="E17" s="19" t="n">
        <f aca="false">SUM(H22:H33)</f>
        <v>107250000</v>
      </c>
      <c r="F17" s="19" t="n">
        <f aca="false">SUM(I22:I33)</f>
        <v>127842000</v>
      </c>
    </row>
    <row r="18" customFormat="false" ht="17.15" hidden="false" customHeight="false" outlineLevel="0" collapsed="false">
      <c r="A18" s="26" t="s">
        <v>61</v>
      </c>
      <c r="B18" s="17" t="n">
        <f aca="false">C45</f>
        <v>600</v>
      </c>
      <c r="C18" s="19" t="n">
        <f aca="false">SUM(F34:F45)</f>
        <v>93772800</v>
      </c>
      <c r="D18" s="19" t="n">
        <f aca="false">SUM(G34:G45)</f>
        <v>58608000</v>
      </c>
      <c r="E18" s="19" t="n">
        <f aca="false">SUM(H34:H45)</f>
        <v>305250000</v>
      </c>
      <c r="F18" s="19" t="n">
        <f aca="false">SUM(I34:I45)</f>
        <v>363858000</v>
      </c>
    </row>
    <row r="19" customFormat="false" ht="17.15" hidden="false" customHeight="false" outlineLevel="0" collapsed="false">
      <c r="A19" s="26" t="s">
        <v>62</v>
      </c>
      <c r="B19" s="17" t="n">
        <f aca="false">C57</f>
        <v>900</v>
      </c>
      <c r="C19" s="19" t="n">
        <f aca="false">SUM(F46:F57)</f>
        <v>154598400</v>
      </c>
      <c r="D19" s="19" t="n">
        <f aca="false">SUM(G46:G57)</f>
        <v>96624000</v>
      </c>
      <c r="E19" s="19" t="n">
        <f aca="false">SUM(H46:H57)</f>
        <v>503250000</v>
      </c>
      <c r="F19" s="19" t="n">
        <f aca="false">SUM(I46:I57)</f>
        <v>599874000</v>
      </c>
    </row>
    <row r="20" customFormat="false" ht="15" hidden="false" customHeight="false" outlineLevel="0" collapsed="false">
      <c r="A20" s="2" t="s">
        <v>63</v>
      </c>
    </row>
    <row r="21" customFormat="false" ht="17.15" hidden="false" customHeight="false" outlineLevel="0" collapsed="false">
      <c r="A21" s="14" t="s">
        <v>64</v>
      </c>
      <c r="B21" s="14" t="s">
        <v>65</v>
      </c>
      <c r="C21" s="14" t="s">
        <v>66</v>
      </c>
      <c r="D21" s="14" t="s">
        <v>34</v>
      </c>
      <c r="E21" s="14" t="s">
        <v>35</v>
      </c>
      <c r="F21" s="14" t="s">
        <v>67</v>
      </c>
      <c r="G21" s="14" t="s">
        <v>57</v>
      </c>
      <c r="H21" s="14" t="s">
        <v>58</v>
      </c>
      <c r="I21" s="22" t="s">
        <v>68</v>
      </c>
    </row>
    <row r="22" customFormat="false" ht="15" hidden="false" customHeight="false" outlineLevel="0" collapsed="false">
      <c r="A22" s="27" t="n">
        <v>1</v>
      </c>
      <c r="B22" s="28" t="n">
        <f aca="false">前提!$B$20</f>
        <v>25</v>
      </c>
      <c r="C22" s="28" t="n">
        <f aca="false">B22</f>
        <v>25</v>
      </c>
      <c r="D22" s="17" t="n">
        <f aca="false">C22*前提!$B$23</f>
        <v>2200</v>
      </c>
      <c r="E22" s="18" t="n">
        <f aca="false">D22*前提!$B$15/前提!$B$14</f>
        <v>88</v>
      </c>
      <c r="F22" s="19" t="n">
        <f aca="false">E22*前提!$B$5</f>
        <v>422400</v>
      </c>
      <c r="G22" s="19" t="n">
        <f aca="false">E22*前提!$B$10</f>
        <v>264000</v>
      </c>
      <c r="H22" s="19" t="n">
        <f aca="false">C22*前提!$B$21</f>
        <v>1375000</v>
      </c>
      <c r="I22" s="19" t="n">
        <f aca="false">G22+H22</f>
        <v>1639000</v>
      </c>
    </row>
    <row r="23" customFormat="false" ht="15" hidden="false" customHeight="false" outlineLevel="0" collapsed="false">
      <c r="A23" s="27" t="n">
        <v>2</v>
      </c>
      <c r="B23" s="28" t="n">
        <f aca="false">前提!$B$20</f>
        <v>25</v>
      </c>
      <c r="C23" s="28" t="n">
        <f aca="false">C22+B23</f>
        <v>50</v>
      </c>
      <c r="D23" s="17" t="n">
        <f aca="false">C23*前提!$B$23</f>
        <v>4400</v>
      </c>
      <c r="E23" s="18" t="n">
        <f aca="false">D23*前提!$B$15/前提!$B$14</f>
        <v>176</v>
      </c>
      <c r="F23" s="19" t="n">
        <f aca="false">E23*前提!$B$5</f>
        <v>844800</v>
      </c>
      <c r="G23" s="19" t="n">
        <f aca="false">E23*前提!$B$10</f>
        <v>528000</v>
      </c>
      <c r="H23" s="19" t="n">
        <f aca="false">C23*前提!$B$21</f>
        <v>2750000</v>
      </c>
      <c r="I23" s="19" t="n">
        <f aca="false">G23+H23</f>
        <v>3278000</v>
      </c>
    </row>
    <row r="24" customFormat="false" ht="15" hidden="false" customHeight="false" outlineLevel="0" collapsed="false">
      <c r="A24" s="27" t="n">
        <v>3</v>
      </c>
      <c r="B24" s="28" t="n">
        <f aca="false">前提!$B$20</f>
        <v>25</v>
      </c>
      <c r="C24" s="28" t="n">
        <f aca="false">C23+B24</f>
        <v>75</v>
      </c>
      <c r="D24" s="17" t="n">
        <f aca="false">C24*前提!$B$23</f>
        <v>6600</v>
      </c>
      <c r="E24" s="18" t="n">
        <f aca="false">D24*前提!$B$15/前提!$B$14</f>
        <v>264</v>
      </c>
      <c r="F24" s="19" t="n">
        <f aca="false">E24*前提!$B$5</f>
        <v>1267200</v>
      </c>
      <c r="G24" s="19" t="n">
        <f aca="false">E24*前提!$B$10</f>
        <v>792000</v>
      </c>
      <c r="H24" s="19" t="n">
        <f aca="false">C24*前提!$B$21</f>
        <v>4125000</v>
      </c>
      <c r="I24" s="19" t="n">
        <f aca="false">G24+H24</f>
        <v>4917000</v>
      </c>
    </row>
    <row r="25" customFormat="false" ht="15" hidden="false" customHeight="false" outlineLevel="0" collapsed="false">
      <c r="A25" s="27" t="n">
        <v>4</v>
      </c>
      <c r="B25" s="28" t="n">
        <f aca="false">前提!$B$20</f>
        <v>25</v>
      </c>
      <c r="C25" s="28" t="n">
        <f aca="false">C24+B25</f>
        <v>100</v>
      </c>
      <c r="D25" s="17" t="n">
        <f aca="false">C25*前提!$B$23</f>
        <v>8800</v>
      </c>
      <c r="E25" s="18" t="n">
        <f aca="false">D25*前提!$B$15/前提!$B$14</f>
        <v>352</v>
      </c>
      <c r="F25" s="19" t="n">
        <f aca="false">E25*前提!$B$5</f>
        <v>1689600</v>
      </c>
      <c r="G25" s="19" t="n">
        <f aca="false">E25*前提!$B$10</f>
        <v>1056000</v>
      </c>
      <c r="H25" s="19" t="n">
        <f aca="false">C25*前提!$B$21</f>
        <v>5500000</v>
      </c>
      <c r="I25" s="19" t="n">
        <f aca="false">G25+H25</f>
        <v>6556000</v>
      </c>
    </row>
    <row r="26" customFormat="false" ht="15" hidden="false" customHeight="false" outlineLevel="0" collapsed="false">
      <c r="A26" s="27" t="n">
        <v>5</v>
      </c>
      <c r="B26" s="28" t="n">
        <f aca="false">前提!$B$20</f>
        <v>25</v>
      </c>
      <c r="C26" s="28" t="n">
        <f aca="false">C25+B26</f>
        <v>125</v>
      </c>
      <c r="D26" s="17" t="n">
        <f aca="false">C26*前提!$B$23</f>
        <v>11000</v>
      </c>
      <c r="E26" s="18" t="n">
        <f aca="false">D26*前提!$B$15/前提!$B$14</f>
        <v>440</v>
      </c>
      <c r="F26" s="19" t="n">
        <f aca="false">E26*前提!$B$5</f>
        <v>2112000</v>
      </c>
      <c r="G26" s="19" t="n">
        <f aca="false">E26*前提!$B$10</f>
        <v>1320000</v>
      </c>
      <c r="H26" s="19" t="n">
        <f aca="false">C26*前提!$B$21</f>
        <v>6875000</v>
      </c>
      <c r="I26" s="19" t="n">
        <f aca="false">G26+H26</f>
        <v>8195000</v>
      </c>
    </row>
    <row r="27" customFormat="false" ht="15" hidden="false" customHeight="false" outlineLevel="0" collapsed="false">
      <c r="A27" s="27" t="n">
        <v>6</v>
      </c>
      <c r="B27" s="28" t="n">
        <f aca="false">前提!$B$20</f>
        <v>25</v>
      </c>
      <c r="C27" s="28" t="n">
        <f aca="false">C26+B27</f>
        <v>150</v>
      </c>
      <c r="D27" s="17" t="n">
        <f aca="false">C27*前提!$B$23</f>
        <v>13200</v>
      </c>
      <c r="E27" s="18" t="n">
        <f aca="false">D27*前提!$B$15/前提!$B$14</f>
        <v>528</v>
      </c>
      <c r="F27" s="19" t="n">
        <f aca="false">E27*前提!$B$5</f>
        <v>2534400</v>
      </c>
      <c r="G27" s="19" t="n">
        <f aca="false">E27*前提!$B$10</f>
        <v>1584000</v>
      </c>
      <c r="H27" s="19" t="n">
        <f aca="false">C27*前提!$B$21</f>
        <v>8250000</v>
      </c>
      <c r="I27" s="19" t="n">
        <f aca="false">G27+H27</f>
        <v>9834000</v>
      </c>
    </row>
    <row r="28" customFormat="false" ht="15" hidden="false" customHeight="false" outlineLevel="0" collapsed="false">
      <c r="A28" s="27" t="n">
        <v>7</v>
      </c>
      <c r="B28" s="28" t="n">
        <f aca="false">前提!$B$20</f>
        <v>25</v>
      </c>
      <c r="C28" s="28" t="n">
        <f aca="false">C27+B28</f>
        <v>175</v>
      </c>
      <c r="D28" s="17" t="n">
        <f aca="false">C28*前提!$B$23</f>
        <v>15400</v>
      </c>
      <c r="E28" s="18" t="n">
        <f aca="false">D28*前提!$B$15/前提!$B$14</f>
        <v>616</v>
      </c>
      <c r="F28" s="19" t="n">
        <f aca="false">E28*前提!$B$5</f>
        <v>2956800</v>
      </c>
      <c r="G28" s="19" t="n">
        <f aca="false">E28*前提!$B$10</f>
        <v>1848000</v>
      </c>
      <c r="H28" s="19" t="n">
        <f aca="false">C28*前提!$B$21</f>
        <v>9625000</v>
      </c>
      <c r="I28" s="19" t="n">
        <f aca="false">G28+H28</f>
        <v>11473000</v>
      </c>
    </row>
    <row r="29" customFormat="false" ht="15" hidden="false" customHeight="false" outlineLevel="0" collapsed="false">
      <c r="A29" s="27" t="n">
        <v>8</v>
      </c>
      <c r="B29" s="28" t="n">
        <f aca="false">前提!$B$20</f>
        <v>25</v>
      </c>
      <c r="C29" s="28" t="n">
        <f aca="false">C28+B29</f>
        <v>200</v>
      </c>
      <c r="D29" s="17" t="n">
        <f aca="false">C29*前提!$B$23</f>
        <v>17600</v>
      </c>
      <c r="E29" s="18" t="n">
        <f aca="false">D29*前提!$B$15/前提!$B$14</f>
        <v>704</v>
      </c>
      <c r="F29" s="19" t="n">
        <f aca="false">E29*前提!$B$5</f>
        <v>3379200</v>
      </c>
      <c r="G29" s="19" t="n">
        <f aca="false">E29*前提!$B$10</f>
        <v>2112000</v>
      </c>
      <c r="H29" s="19" t="n">
        <f aca="false">C29*前提!$B$21</f>
        <v>11000000</v>
      </c>
      <c r="I29" s="19" t="n">
        <f aca="false">G29+H29</f>
        <v>13112000</v>
      </c>
    </row>
    <row r="30" customFormat="false" ht="15" hidden="false" customHeight="false" outlineLevel="0" collapsed="false">
      <c r="A30" s="27" t="n">
        <v>9</v>
      </c>
      <c r="B30" s="28" t="n">
        <f aca="false">前提!$B$20</f>
        <v>25</v>
      </c>
      <c r="C30" s="28" t="n">
        <f aca="false">C29+B30</f>
        <v>225</v>
      </c>
      <c r="D30" s="17" t="n">
        <f aca="false">C30*前提!$B$23</f>
        <v>19800</v>
      </c>
      <c r="E30" s="18" t="n">
        <f aca="false">D30*前提!$B$15/前提!$B$14</f>
        <v>792</v>
      </c>
      <c r="F30" s="19" t="n">
        <f aca="false">E30*前提!$B$5</f>
        <v>3801600</v>
      </c>
      <c r="G30" s="19" t="n">
        <f aca="false">E30*前提!$B$10</f>
        <v>2376000</v>
      </c>
      <c r="H30" s="19" t="n">
        <f aca="false">C30*前提!$B$21</f>
        <v>12375000</v>
      </c>
      <c r="I30" s="19" t="n">
        <f aca="false">G30+H30</f>
        <v>14751000</v>
      </c>
    </row>
    <row r="31" customFormat="false" ht="15" hidden="false" customHeight="false" outlineLevel="0" collapsed="false">
      <c r="A31" s="27" t="n">
        <v>10</v>
      </c>
      <c r="B31" s="28" t="n">
        <f aca="false">前提!$B$20</f>
        <v>25</v>
      </c>
      <c r="C31" s="28" t="n">
        <f aca="false">C30+B31</f>
        <v>250</v>
      </c>
      <c r="D31" s="17" t="n">
        <f aca="false">C31*前提!$B$23</f>
        <v>22000</v>
      </c>
      <c r="E31" s="18" t="n">
        <f aca="false">D31*前提!$B$15/前提!$B$14</f>
        <v>880</v>
      </c>
      <c r="F31" s="19" t="n">
        <f aca="false">E31*前提!$B$5</f>
        <v>4224000</v>
      </c>
      <c r="G31" s="19" t="n">
        <f aca="false">E31*前提!$B$10</f>
        <v>2640000</v>
      </c>
      <c r="H31" s="19" t="n">
        <f aca="false">C31*前提!$B$21</f>
        <v>13750000</v>
      </c>
      <c r="I31" s="19" t="n">
        <f aca="false">G31+H31</f>
        <v>16390000</v>
      </c>
    </row>
    <row r="32" customFormat="false" ht="15" hidden="false" customHeight="false" outlineLevel="0" collapsed="false">
      <c r="A32" s="27" t="n">
        <v>11</v>
      </c>
      <c r="B32" s="28" t="n">
        <f aca="false">前提!$B$20</f>
        <v>25</v>
      </c>
      <c r="C32" s="28" t="n">
        <f aca="false">C31+B32</f>
        <v>275</v>
      </c>
      <c r="D32" s="17" t="n">
        <f aca="false">C32*前提!$B$23</f>
        <v>24200</v>
      </c>
      <c r="E32" s="18" t="n">
        <f aca="false">D32*前提!$B$15/前提!$B$14</f>
        <v>968</v>
      </c>
      <c r="F32" s="19" t="n">
        <f aca="false">E32*前提!$B$5</f>
        <v>4646400</v>
      </c>
      <c r="G32" s="19" t="n">
        <f aca="false">E32*前提!$B$10</f>
        <v>2904000</v>
      </c>
      <c r="H32" s="19" t="n">
        <f aca="false">C32*前提!$B$21</f>
        <v>15125000</v>
      </c>
      <c r="I32" s="19" t="n">
        <f aca="false">G32+H32</f>
        <v>18029000</v>
      </c>
    </row>
    <row r="33" customFormat="false" ht="15" hidden="false" customHeight="false" outlineLevel="0" collapsed="false">
      <c r="A33" s="29" t="n">
        <v>12</v>
      </c>
      <c r="B33" s="30" t="n">
        <f aca="false">前提!$B$20</f>
        <v>25</v>
      </c>
      <c r="C33" s="30" t="n">
        <f aca="false">C32+B33</f>
        <v>300</v>
      </c>
      <c r="D33" s="31" t="n">
        <f aca="false">C33*前提!$B$23</f>
        <v>26400</v>
      </c>
      <c r="E33" s="32" t="n">
        <f aca="false">D33*前提!$B$15/前提!$B$14</f>
        <v>1056</v>
      </c>
      <c r="F33" s="33" t="n">
        <f aca="false">E33*前提!$B$5</f>
        <v>5068800</v>
      </c>
      <c r="G33" s="33" t="n">
        <f aca="false">E33*前提!$B$10</f>
        <v>3168000</v>
      </c>
      <c r="H33" s="33" t="n">
        <f aca="false">C33*前提!$B$21</f>
        <v>16500000</v>
      </c>
      <c r="I33" s="33" t="n">
        <f aca="false">G33+H33</f>
        <v>19668000</v>
      </c>
    </row>
    <row r="34" customFormat="false" ht="15" hidden="false" customHeight="false" outlineLevel="0" collapsed="false">
      <c r="A34" s="27" t="n">
        <v>13</v>
      </c>
      <c r="B34" s="28" t="n">
        <f aca="false">前提!$B$20</f>
        <v>25</v>
      </c>
      <c r="C34" s="28" t="n">
        <f aca="false">C33+B34</f>
        <v>325</v>
      </c>
      <c r="D34" s="17" t="n">
        <f aca="false">C34*前提!$B$23</f>
        <v>28600</v>
      </c>
      <c r="E34" s="18" t="n">
        <f aca="false">D34*前提!$B$15/前提!$B$14</f>
        <v>1144</v>
      </c>
      <c r="F34" s="19" t="n">
        <f aca="false">E34*前提!$B$5</f>
        <v>5491200</v>
      </c>
      <c r="G34" s="19" t="n">
        <f aca="false">E34*前提!$B$10</f>
        <v>3432000</v>
      </c>
      <c r="H34" s="19" t="n">
        <f aca="false">C34*前提!$B$21</f>
        <v>17875000</v>
      </c>
      <c r="I34" s="19" t="n">
        <f aca="false">G34+H34</f>
        <v>21307000</v>
      </c>
    </row>
    <row r="35" customFormat="false" ht="15" hidden="false" customHeight="false" outlineLevel="0" collapsed="false">
      <c r="A35" s="27" t="n">
        <v>14</v>
      </c>
      <c r="B35" s="28" t="n">
        <f aca="false">前提!$B$20</f>
        <v>25</v>
      </c>
      <c r="C35" s="28" t="n">
        <f aca="false">C34+B35</f>
        <v>350</v>
      </c>
      <c r="D35" s="17" t="n">
        <f aca="false">C35*前提!$B$23</f>
        <v>30800</v>
      </c>
      <c r="E35" s="18" t="n">
        <f aca="false">D35*前提!$B$15/前提!$B$14</f>
        <v>1232</v>
      </c>
      <c r="F35" s="19" t="n">
        <f aca="false">E35*前提!$B$5</f>
        <v>5913600</v>
      </c>
      <c r="G35" s="19" t="n">
        <f aca="false">E35*前提!$B$10</f>
        <v>3696000</v>
      </c>
      <c r="H35" s="19" t="n">
        <f aca="false">C35*前提!$B$21</f>
        <v>19250000</v>
      </c>
      <c r="I35" s="19" t="n">
        <f aca="false">G35+H35</f>
        <v>22946000</v>
      </c>
    </row>
    <row r="36" customFormat="false" ht="15" hidden="false" customHeight="false" outlineLevel="0" collapsed="false">
      <c r="A36" s="27" t="n">
        <v>15</v>
      </c>
      <c r="B36" s="28" t="n">
        <f aca="false">前提!$B$20</f>
        <v>25</v>
      </c>
      <c r="C36" s="28" t="n">
        <f aca="false">C35+B36</f>
        <v>375</v>
      </c>
      <c r="D36" s="17" t="n">
        <f aca="false">C36*前提!$B$23</f>
        <v>33000</v>
      </c>
      <c r="E36" s="18" t="n">
        <f aca="false">D36*前提!$B$15/前提!$B$14</f>
        <v>1320</v>
      </c>
      <c r="F36" s="19" t="n">
        <f aca="false">E36*前提!$B$5</f>
        <v>6336000</v>
      </c>
      <c r="G36" s="19" t="n">
        <f aca="false">E36*前提!$B$10</f>
        <v>3960000</v>
      </c>
      <c r="H36" s="19" t="n">
        <f aca="false">C36*前提!$B$21</f>
        <v>20625000</v>
      </c>
      <c r="I36" s="19" t="n">
        <f aca="false">G36+H36</f>
        <v>24585000</v>
      </c>
    </row>
    <row r="37" customFormat="false" ht="15" hidden="false" customHeight="false" outlineLevel="0" collapsed="false">
      <c r="A37" s="27" t="n">
        <v>16</v>
      </c>
      <c r="B37" s="28" t="n">
        <f aca="false">前提!$B$20</f>
        <v>25</v>
      </c>
      <c r="C37" s="28" t="n">
        <f aca="false">C36+B37</f>
        <v>400</v>
      </c>
      <c r="D37" s="17" t="n">
        <f aca="false">C37*前提!$B$23</f>
        <v>35200</v>
      </c>
      <c r="E37" s="18" t="n">
        <f aca="false">D37*前提!$B$15/前提!$B$14</f>
        <v>1408</v>
      </c>
      <c r="F37" s="19" t="n">
        <f aca="false">E37*前提!$B$5</f>
        <v>6758400</v>
      </c>
      <c r="G37" s="19" t="n">
        <f aca="false">E37*前提!$B$10</f>
        <v>4224000</v>
      </c>
      <c r="H37" s="19" t="n">
        <f aca="false">C37*前提!$B$21</f>
        <v>22000000</v>
      </c>
      <c r="I37" s="19" t="n">
        <f aca="false">G37+H37</f>
        <v>26224000</v>
      </c>
    </row>
    <row r="38" customFormat="false" ht="15" hidden="false" customHeight="false" outlineLevel="0" collapsed="false">
      <c r="A38" s="27" t="n">
        <v>17</v>
      </c>
      <c r="B38" s="28" t="n">
        <f aca="false">前提!$B$20</f>
        <v>25</v>
      </c>
      <c r="C38" s="28" t="n">
        <f aca="false">C37+B38</f>
        <v>425</v>
      </c>
      <c r="D38" s="17" t="n">
        <f aca="false">C38*前提!$B$23</f>
        <v>37400</v>
      </c>
      <c r="E38" s="18" t="n">
        <f aca="false">D38*前提!$B$15/前提!$B$14</f>
        <v>1496</v>
      </c>
      <c r="F38" s="19" t="n">
        <f aca="false">E38*前提!$B$5</f>
        <v>7180800</v>
      </c>
      <c r="G38" s="19" t="n">
        <f aca="false">E38*前提!$B$10</f>
        <v>4488000</v>
      </c>
      <c r="H38" s="19" t="n">
        <f aca="false">C38*前提!$B$21</f>
        <v>23375000</v>
      </c>
      <c r="I38" s="19" t="n">
        <f aca="false">G38+H38</f>
        <v>27863000</v>
      </c>
    </row>
    <row r="39" customFormat="false" ht="15" hidden="false" customHeight="false" outlineLevel="0" collapsed="false">
      <c r="A39" s="27" t="n">
        <v>18</v>
      </c>
      <c r="B39" s="28" t="n">
        <f aca="false">前提!$B$20</f>
        <v>25</v>
      </c>
      <c r="C39" s="28" t="n">
        <f aca="false">C38+B39</f>
        <v>450</v>
      </c>
      <c r="D39" s="17" t="n">
        <f aca="false">C39*前提!$B$23</f>
        <v>39600</v>
      </c>
      <c r="E39" s="18" t="n">
        <f aca="false">D39*前提!$B$15/前提!$B$14</f>
        <v>1584</v>
      </c>
      <c r="F39" s="19" t="n">
        <f aca="false">E39*前提!$B$5</f>
        <v>7603200</v>
      </c>
      <c r="G39" s="19" t="n">
        <f aca="false">E39*前提!$B$10</f>
        <v>4752000</v>
      </c>
      <c r="H39" s="19" t="n">
        <f aca="false">C39*前提!$B$21</f>
        <v>24750000</v>
      </c>
      <c r="I39" s="19" t="n">
        <f aca="false">G39+H39</f>
        <v>29502000</v>
      </c>
    </row>
    <row r="40" customFormat="false" ht="15" hidden="false" customHeight="false" outlineLevel="0" collapsed="false">
      <c r="A40" s="27" t="n">
        <v>19</v>
      </c>
      <c r="B40" s="28" t="n">
        <f aca="false">前提!$B$20</f>
        <v>25</v>
      </c>
      <c r="C40" s="28" t="n">
        <f aca="false">C39+B40</f>
        <v>475</v>
      </c>
      <c r="D40" s="17" t="n">
        <f aca="false">C40*前提!$B$23</f>
        <v>41800</v>
      </c>
      <c r="E40" s="18" t="n">
        <f aca="false">D40*前提!$B$15/前提!$B$14</f>
        <v>1672</v>
      </c>
      <c r="F40" s="19" t="n">
        <f aca="false">E40*前提!$B$5</f>
        <v>8025600</v>
      </c>
      <c r="G40" s="19" t="n">
        <f aca="false">E40*前提!$B$10</f>
        <v>5016000</v>
      </c>
      <c r="H40" s="19" t="n">
        <f aca="false">C40*前提!$B$21</f>
        <v>26125000</v>
      </c>
      <c r="I40" s="19" t="n">
        <f aca="false">G40+H40</f>
        <v>31141000</v>
      </c>
    </row>
    <row r="41" customFormat="false" ht="15" hidden="false" customHeight="false" outlineLevel="0" collapsed="false">
      <c r="A41" s="27" t="n">
        <v>20</v>
      </c>
      <c r="B41" s="28" t="n">
        <f aca="false">前提!$B$20</f>
        <v>25</v>
      </c>
      <c r="C41" s="28" t="n">
        <f aca="false">C40+B41</f>
        <v>500</v>
      </c>
      <c r="D41" s="17" t="n">
        <f aca="false">C41*前提!$B$23</f>
        <v>44000</v>
      </c>
      <c r="E41" s="18" t="n">
        <f aca="false">D41*前提!$B$15/前提!$B$14</f>
        <v>1760</v>
      </c>
      <c r="F41" s="19" t="n">
        <f aca="false">E41*前提!$B$5</f>
        <v>8448000</v>
      </c>
      <c r="G41" s="19" t="n">
        <f aca="false">E41*前提!$B$10</f>
        <v>5280000</v>
      </c>
      <c r="H41" s="19" t="n">
        <f aca="false">C41*前提!$B$21</f>
        <v>27500000</v>
      </c>
      <c r="I41" s="19" t="n">
        <f aca="false">G41+H41</f>
        <v>32780000</v>
      </c>
    </row>
    <row r="42" customFormat="false" ht="15" hidden="false" customHeight="false" outlineLevel="0" collapsed="false">
      <c r="A42" s="27" t="n">
        <v>21</v>
      </c>
      <c r="B42" s="28" t="n">
        <f aca="false">前提!$B$20</f>
        <v>25</v>
      </c>
      <c r="C42" s="28" t="n">
        <f aca="false">C41+B42</f>
        <v>525</v>
      </c>
      <c r="D42" s="17" t="n">
        <f aca="false">C42*前提!$B$23</f>
        <v>46200</v>
      </c>
      <c r="E42" s="18" t="n">
        <f aca="false">D42*前提!$B$15/前提!$B$14</f>
        <v>1848</v>
      </c>
      <c r="F42" s="19" t="n">
        <f aca="false">E42*前提!$B$5</f>
        <v>8870400</v>
      </c>
      <c r="G42" s="19" t="n">
        <f aca="false">E42*前提!$B$10</f>
        <v>5544000</v>
      </c>
      <c r="H42" s="19" t="n">
        <f aca="false">C42*前提!$B$21</f>
        <v>28875000</v>
      </c>
      <c r="I42" s="19" t="n">
        <f aca="false">G42+H42</f>
        <v>34419000</v>
      </c>
    </row>
    <row r="43" customFormat="false" ht="15" hidden="false" customHeight="false" outlineLevel="0" collapsed="false">
      <c r="A43" s="27" t="n">
        <v>22</v>
      </c>
      <c r="B43" s="28" t="n">
        <f aca="false">前提!$B$20</f>
        <v>25</v>
      </c>
      <c r="C43" s="28" t="n">
        <f aca="false">C42+B43</f>
        <v>550</v>
      </c>
      <c r="D43" s="17" t="n">
        <f aca="false">C43*前提!$B$23</f>
        <v>48400</v>
      </c>
      <c r="E43" s="18" t="n">
        <f aca="false">D43*前提!$B$15/前提!$B$14</f>
        <v>1936</v>
      </c>
      <c r="F43" s="19" t="n">
        <f aca="false">E43*前提!$B$5</f>
        <v>9292800</v>
      </c>
      <c r="G43" s="19" t="n">
        <f aca="false">E43*前提!$B$10</f>
        <v>5808000</v>
      </c>
      <c r="H43" s="19" t="n">
        <f aca="false">C43*前提!$B$21</f>
        <v>30250000</v>
      </c>
      <c r="I43" s="19" t="n">
        <f aca="false">G43+H43</f>
        <v>36058000</v>
      </c>
    </row>
    <row r="44" customFormat="false" ht="15" hidden="false" customHeight="false" outlineLevel="0" collapsed="false">
      <c r="A44" s="27" t="n">
        <v>23</v>
      </c>
      <c r="B44" s="28" t="n">
        <f aca="false">前提!$B$20</f>
        <v>25</v>
      </c>
      <c r="C44" s="28" t="n">
        <f aca="false">C43+B44</f>
        <v>575</v>
      </c>
      <c r="D44" s="17" t="n">
        <f aca="false">C44*前提!$B$23</f>
        <v>50600</v>
      </c>
      <c r="E44" s="18" t="n">
        <f aca="false">D44*前提!$B$15/前提!$B$14</f>
        <v>2024</v>
      </c>
      <c r="F44" s="19" t="n">
        <f aca="false">E44*前提!$B$5</f>
        <v>9715200</v>
      </c>
      <c r="G44" s="19" t="n">
        <f aca="false">E44*前提!$B$10</f>
        <v>6072000</v>
      </c>
      <c r="H44" s="19" t="n">
        <f aca="false">C44*前提!$B$21</f>
        <v>31625000</v>
      </c>
      <c r="I44" s="19" t="n">
        <f aca="false">G44+H44</f>
        <v>37697000</v>
      </c>
    </row>
    <row r="45" customFormat="false" ht="15" hidden="false" customHeight="false" outlineLevel="0" collapsed="false">
      <c r="A45" s="29" t="n">
        <v>24</v>
      </c>
      <c r="B45" s="30" t="n">
        <f aca="false">前提!$B$20</f>
        <v>25</v>
      </c>
      <c r="C45" s="30" t="n">
        <f aca="false">C44+B45</f>
        <v>600</v>
      </c>
      <c r="D45" s="31" t="n">
        <f aca="false">C45*前提!$B$23</f>
        <v>52800</v>
      </c>
      <c r="E45" s="32" t="n">
        <f aca="false">D45*前提!$B$15/前提!$B$14</f>
        <v>2112</v>
      </c>
      <c r="F45" s="33" t="n">
        <f aca="false">E45*前提!$B$5</f>
        <v>10137600</v>
      </c>
      <c r="G45" s="33" t="n">
        <f aca="false">E45*前提!$B$10</f>
        <v>6336000</v>
      </c>
      <c r="H45" s="33" t="n">
        <f aca="false">C45*前提!$B$21</f>
        <v>33000000</v>
      </c>
      <c r="I45" s="33" t="n">
        <f aca="false">G45+H45</f>
        <v>39336000</v>
      </c>
    </row>
    <row r="46" customFormat="false" ht="15" hidden="false" customHeight="false" outlineLevel="0" collapsed="false">
      <c r="A46" s="27" t="n">
        <v>25</v>
      </c>
      <c r="B46" s="28" t="n">
        <f aca="false">前提!$B$20</f>
        <v>25</v>
      </c>
      <c r="C46" s="28" t="n">
        <f aca="false">C45+B46</f>
        <v>625</v>
      </c>
      <c r="D46" s="17" t="n">
        <f aca="false">C46*前提!$B$23</f>
        <v>55000</v>
      </c>
      <c r="E46" s="18" t="n">
        <f aca="false">D46*前提!$B$15/前提!$B$14</f>
        <v>2200</v>
      </c>
      <c r="F46" s="19" t="n">
        <f aca="false">E46*前提!$B$5</f>
        <v>10560000</v>
      </c>
      <c r="G46" s="19" t="n">
        <f aca="false">E46*前提!$B$10</f>
        <v>6600000</v>
      </c>
      <c r="H46" s="19" t="n">
        <f aca="false">C46*前提!$B$21</f>
        <v>34375000</v>
      </c>
      <c r="I46" s="19" t="n">
        <f aca="false">G46+H46</f>
        <v>40975000</v>
      </c>
    </row>
    <row r="47" customFormat="false" ht="15" hidden="false" customHeight="false" outlineLevel="0" collapsed="false">
      <c r="A47" s="27" t="n">
        <v>26</v>
      </c>
      <c r="B47" s="28" t="n">
        <f aca="false">前提!$B$20</f>
        <v>25</v>
      </c>
      <c r="C47" s="28" t="n">
        <f aca="false">C46+B47</f>
        <v>650</v>
      </c>
      <c r="D47" s="17" t="n">
        <f aca="false">C47*前提!$B$23</f>
        <v>57200</v>
      </c>
      <c r="E47" s="18" t="n">
        <f aca="false">D47*前提!$B$15/前提!$B$14</f>
        <v>2288</v>
      </c>
      <c r="F47" s="19" t="n">
        <f aca="false">E47*前提!$B$5</f>
        <v>10982400</v>
      </c>
      <c r="G47" s="19" t="n">
        <f aca="false">E47*前提!$B$10</f>
        <v>6864000</v>
      </c>
      <c r="H47" s="19" t="n">
        <f aca="false">C47*前提!$B$21</f>
        <v>35750000</v>
      </c>
      <c r="I47" s="19" t="n">
        <f aca="false">G47+H47</f>
        <v>42614000</v>
      </c>
    </row>
    <row r="48" customFormat="false" ht="15" hidden="false" customHeight="false" outlineLevel="0" collapsed="false">
      <c r="A48" s="27" t="n">
        <v>27</v>
      </c>
      <c r="B48" s="28" t="n">
        <f aca="false">前提!$B$20</f>
        <v>25</v>
      </c>
      <c r="C48" s="28" t="n">
        <f aca="false">C47+B48</f>
        <v>675</v>
      </c>
      <c r="D48" s="17" t="n">
        <f aca="false">C48*前提!$B$23</f>
        <v>59400</v>
      </c>
      <c r="E48" s="18" t="n">
        <f aca="false">D48*前提!$B$15/前提!$B$14</f>
        <v>2376</v>
      </c>
      <c r="F48" s="19" t="n">
        <f aca="false">E48*前提!$B$5</f>
        <v>11404800</v>
      </c>
      <c r="G48" s="19" t="n">
        <f aca="false">E48*前提!$B$10</f>
        <v>7128000</v>
      </c>
      <c r="H48" s="19" t="n">
        <f aca="false">C48*前提!$B$21</f>
        <v>37125000</v>
      </c>
      <c r="I48" s="19" t="n">
        <f aca="false">G48+H48</f>
        <v>44253000</v>
      </c>
    </row>
    <row r="49" customFormat="false" ht="15" hidden="false" customHeight="false" outlineLevel="0" collapsed="false">
      <c r="A49" s="27" t="n">
        <v>28</v>
      </c>
      <c r="B49" s="28" t="n">
        <f aca="false">前提!$B$20</f>
        <v>25</v>
      </c>
      <c r="C49" s="28" t="n">
        <f aca="false">C48+B49</f>
        <v>700</v>
      </c>
      <c r="D49" s="17" t="n">
        <f aca="false">C49*前提!$B$23</f>
        <v>61600</v>
      </c>
      <c r="E49" s="18" t="n">
        <f aca="false">D49*前提!$B$15/前提!$B$14</f>
        <v>2464</v>
      </c>
      <c r="F49" s="19" t="n">
        <f aca="false">E49*前提!$B$5</f>
        <v>11827200</v>
      </c>
      <c r="G49" s="19" t="n">
        <f aca="false">E49*前提!$B$10</f>
        <v>7392000</v>
      </c>
      <c r="H49" s="19" t="n">
        <f aca="false">C49*前提!$B$21</f>
        <v>38500000</v>
      </c>
      <c r="I49" s="19" t="n">
        <f aca="false">G49+H49</f>
        <v>45892000</v>
      </c>
    </row>
    <row r="50" customFormat="false" ht="15" hidden="false" customHeight="false" outlineLevel="0" collapsed="false">
      <c r="A50" s="27" t="n">
        <v>29</v>
      </c>
      <c r="B50" s="28" t="n">
        <f aca="false">前提!$B$20</f>
        <v>25</v>
      </c>
      <c r="C50" s="28" t="n">
        <f aca="false">C49+B50</f>
        <v>725</v>
      </c>
      <c r="D50" s="17" t="n">
        <f aca="false">C50*前提!$B$23</f>
        <v>63800</v>
      </c>
      <c r="E50" s="18" t="n">
        <f aca="false">D50*前提!$B$15/前提!$B$14</f>
        <v>2552</v>
      </c>
      <c r="F50" s="19" t="n">
        <f aca="false">E50*前提!$B$5</f>
        <v>12249600</v>
      </c>
      <c r="G50" s="19" t="n">
        <f aca="false">E50*前提!$B$10</f>
        <v>7656000</v>
      </c>
      <c r="H50" s="19" t="n">
        <f aca="false">C50*前提!$B$21</f>
        <v>39875000</v>
      </c>
      <c r="I50" s="19" t="n">
        <f aca="false">G50+H50</f>
        <v>47531000</v>
      </c>
    </row>
    <row r="51" customFormat="false" ht="15" hidden="false" customHeight="false" outlineLevel="0" collapsed="false">
      <c r="A51" s="27" t="n">
        <v>30</v>
      </c>
      <c r="B51" s="28" t="n">
        <f aca="false">前提!$B$20</f>
        <v>25</v>
      </c>
      <c r="C51" s="28" t="n">
        <f aca="false">C50+B51</f>
        <v>750</v>
      </c>
      <c r="D51" s="17" t="n">
        <f aca="false">C51*前提!$B$23</f>
        <v>66000</v>
      </c>
      <c r="E51" s="18" t="n">
        <f aca="false">D51*前提!$B$15/前提!$B$14</f>
        <v>2640</v>
      </c>
      <c r="F51" s="19" t="n">
        <f aca="false">E51*前提!$B$5</f>
        <v>12672000</v>
      </c>
      <c r="G51" s="19" t="n">
        <f aca="false">E51*前提!$B$10</f>
        <v>7920000</v>
      </c>
      <c r="H51" s="19" t="n">
        <f aca="false">C51*前提!$B$21</f>
        <v>41250000</v>
      </c>
      <c r="I51" s="19" t="n">
        <f aca="false">G51+H51</f>
        <v>49170000</v>
      </c>
    </row>
    <row r="52" customFormat="false" ht="15" hidden="false" customHeight="false" outlineLevel="0" collapsed="false">
      <c r="A52" s="27" t="n">
        <v>31</v>
      </c>
      <c r="B52" s="28" t="n">
        <f aca="false">前提!$B$20</f>
        <v>25</v>
      </c>
      <c r="C52" s="28" t="n">
        <f aca="false">C51+B52</f>
        <v>775</v>
      </c>
      <c r="D52" s="17" t="n">
        <f aca="false">C52*前提!$B$23</f>
        <v>68200</v>
      </c>
      <c r="E52" s="18" t="n">
        <f aca="false">D52*前提!$B$15/前提!$B$14</f>
        <v>2728</v>
      </c>
      <c r="F52" s="19" t="n">
        <f aca="false">E52*前提!$B$5</f>
        <v>13094400</v>
      </c>
      <c r="G52" s="19" t="n">
        <f aca="false">E52*前提!$B$10</f>
        <v>8184000</v>
      </c>
      <c r="H52" s="19" t="n">
        <f aca="false">C52*前提!$B$21</f>
        <v>42625000</v>
      </c>
      <c r="I52" s="19" t="n">
        <f aca="false">G52+H52</f>
        <v>50809000</v>
      </c>
    </row>
    <row r="53" customFormat="false" ht="15" hidden="false" customHeight="false" outlineLevel="0" collapsed="false">
      <c r="A53" s="27" t="n">
        <v>32</v>
      </c>
      <c r="B53" s="28" t="n">
        <f aca="false">前提!$B$20</f>
        <v>25</v>
      </c>
      <c r="C53" s="28" t="n">
        <f aca="false">C52+B53</f>
        <v>800</v>
      </c>
      <c r="D53" s="17" t="n">
        <f aca="false">C53*前提!$B$23</f>
        <v>70400</v>
      </c>
      <c r="E53" s="18" t="n">
        <f aca="false">D53*前提!$B$15/前提!$B$14</f>
        <v>2816</v>
      </c>
      <c r="F53" s="19" t="n">
        <f aca="false">E53*前提!$B$5</f>
        <v>13516800</v>
      </c>
      <c r="G53" s="19" t="n">
        <f aca="false">E53*前提!$B$10</f>
        <v>8448000</v>
      </c>
      <c r="H53" s="19" t="n">
        <f aca="false">C53*前提!$B$21</f>
        <v>44000000</v>
      </c>
      <c r="I53" s="19" t="n">
        <f aca="false">G53+H53</f>
        <v>52448000</v>
      </c>
    </row>
    <row r="54" customFormat="false" ht="15" hidden="false" customHeight="false" outlineLevel="0" collapsed="false">
      <c r="A54" s="27" t="n">
        <v>33</v>
      </c>
      <c r="B54" s="28" t="n">
        <f aca="false">前提!$B$20</f>
        <v>25</v>
      </c>
      <c r="C54" s="28" t="n">
        <f aca="false">C53+B54</f>
        <v>825</v>
      </c>
      <c r="D54" s="17" t="n">
        <f aca="false">C54*前提!$B$23</f>
        <v>72600</v>
      </c>
      <c r="E54" s="18" t="n">
        <f aca="false">D54*前提!$B$15/前提!$B$14</f>
        <v>2904</v>
      </c>
      <c r="F54" s="19" t="n">
        <f aca="false">E54*前提!$B$5</f>
        <v>13939200</v>
      </c>
      <c r="G54" s="19" t="n">
        <f aca="false">E54*前提!$B$10</f>
        <v>8712000</v>
      </c>
      <c r="H54" s="19" t="n">
        <f aca="false">C54*前提!$B$21</f>
        <v>45375000</v>
      </c>
      <c r="I54" s="19" t="n">
        <f aca="false">G54+H54</f>
        <v>54087000</v>
      </c>
    </row>
    <row r="55" customFormat="false" ht="15" hidden="false" customHeight="false" outlineLevel="0" collapsed="false">
      <c r="A55" s="27" t="n">
        <v>34</v>
      </c>
      <c r="B55" s="28" t="n">
        <f aca="false">前提!$B$20</f>
        <v>25</v>
      </c>
      <c r="C55" s="28" t="n">
        <f aca="false">C54+B55</f>
        <v>850</v>
      </c>
      <c r="D55" s="17" t="n">
        <f aca="false">C55*前提!$B$23</f>
        <v>74800</v>
      </c>
      <c r="E55" s="18" t="n">
        <f aca="false">D55*前提!$B$15/前提!$B$14</f>
        <v>2992</v>
      </c>
      <c r="F55" s="19" t="n">
        <f aca="false">E55*前提!$B$5</f>
        <v>14361600</v>
      </c>
      <c r="G55" s="19" t="n">
        <f aca="false">E55*前提!$B$10</f>
        <v>8976000</v>
      </c>
      <c r="H55" s="19" t="n">
        <f aca="false">C55*前提!$B$21</f>
        <v>46750000</v>
      </c>
      <c r="I55" s="19" t="n">
        <f aca="false">G55+H55</f>
        <v>55726000</v>
      </c>
    </row>
    <row r="56" customFormat="false" ht="15" hidden="false" customHeight="false" outlineLevel="0" collapsed="false">
      <c r="A56" s="27" t="n">
        <v>35</v>
      </c>
      <c r="B56" s="28" t="n">
        <f aca="false">前提!$B$20</f>
        <v>25</v>
      </c>
      <c r="C56" s="28" t="n">
        <f aca="false">C55+B56</f>
        <v>875</v>
      </c>
      <c r="D56" s="17" t="n">
        <f aca="false">C56*前提!$B$23</f>
        <v>77000</v>
      </c>
      <c r="E56" s="18" t="n">
        <f aca="false">D56*前提!$B$15/前提!$B$14</f>
        <v>3080</v>
      </c>
      <c r="F56" s="19" t="n">
        <f aca="false">E56*前提!$B$5</f>
        <v>14784000</v>
      </c>
      <c r="G56" s="19" t="n">
        <f aca="false">E56*前提!$B$10</f>
        <v>9240000</v>
      </c>
      <c r="H56" s="19" t="n">
        <f aca="false">C56*前提!$B$21</f>
        <v>48125000</v>
      </c>
      <c r="I56" s="19" t="n">
        <f aca="false">G56+H56</f>
        <v>57365000</v>
      </c>
    </row>
    <row r="57" customFormat="false" ht="15" hidden="false" customHeight="false" outlineLevel="0" collapsed="false">
      <c r="A57" s="29" t="n">
        <v>36</v>
      </c>
      <c r="B57" s="30" t="n">
        <f aca="false">前提!$B$20</f>
        <v>25</v>
      </c>
      <c r="C57" s="30" t="n">
        <f aca="false">C56+B57</f>
        <v>900</v>
      </c>
      <c r="D57" s="31" t="n">
        <f aca="false">C57*前提!$B$23</f>
        <v>79200</v>
      </c>
      <c r="E57" s="32" t="n">
        <f aca="false">D57*前提!$B$15/前提!$B$14</f>
        <v>3168</v>
      </c>
      <c r="F57" s="33" t="n">
        <f aca="false">E57*前提!$B$5</f>
        <v>15206400</v>
      </c>
      <c r="G57" s="33" t="n">
        <f aca="false">E57*前提!$B$10</f>
        <v>9504000</v>
      </c>
      <c r="H57" s="33" t="n">
        <f aca="false">C57*前提!$B$21</f>
        <v>49500000</v>
      </c>
      <c r="I57" s="33" t="n">
        <f aca="false">G57+H57</f>
        <v>59004000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2026-07-15T04:17:34Z</dcterms:created>
  <dc:creator>openpyxl</dc:creator>
  <dc:description/>
  <dc:language>en-US</dc:language>
  <cp:lastModifiedBy/>
  <dcterms:modified xsi:type="dcterms:W3CDTF">2026-07-15T04:17:34Z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