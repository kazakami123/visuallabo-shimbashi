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1000台_月間利益" sheetId="2" state="visible" r:id="rId4"/>
    <sheet name="3年計画_月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<sst xmlns="http://schemas.openxmlformats.org/spreadsheetml/2006/main" count="95" uniqueCount="86">
  <si>
    <r>
      <rPr>
        <b val="true"/>
        <sz val="14"/>
        <color rgb="FF16130E"/>
        <rFont val="Arial"/>
        <family val="0"/>
        <charset val="1"/>
      </rPr>
      <t xml:space="preserve">VISUAL LABO</t>
    </r>
    <r>
      <rPr>
        <b val="true"/>
        <sz val="14"/>
        <color rgb="FF16130E"/>
        <rFont val="Noto Sans CJK SC"/>
        <family val="2"/>
      </rPr>
      <t xml:space="preserve">｜</t>
    </r>
    <r>
      <rPr>
        <b val="true"/>
        <sz val="14"/>
        <color rgb="FF16130E"/>
        <rFont val="Arial"/>
        <family val="0"/>
        <charset val="1"/>
      </rPr>
      <t xml:space="preserve">3</t>
    </r>
    <r>
      <rPr>
        <b val="true"/>
        <sz val="14"/>
        <color rgb="FF16130E"/>
        <rFont val="Noto Sans CJK SC"/>
        <family val="2"/>
      </rPr>
      <t xml:space="preserve">年収益計画シミュレーション（</t>
    </r>
    <r>
      <rPr>
        <b val="true"/>
        <sz val="14"/>
        <color rgb="FF16130E"/>
        <rFont val="Arial"/>
        <family val="0"/>
        <charset val="1"/>
      </rPr>
      <t xml:space="preserve">ToB</t>
    </r>
    <r>
      <rPr>
        <b val="true"/>
        <sz val="14"/>
        <color rgb="FF16130E"/>
        <rFont val="Noto Sans CJK SC"/>
        <family val="2"/>
      </rPr>
      <t xml:space="preserve">：機械リース＋専用ジェル）</t>
    </r>
  </si>
  <si>
    <t xml:space="preserve">青字＝入力レバー（変更で全再計算）／黄色＝主要レバー</t>
  </si>
  <si>
    <t xml:space="preserve">◤ ジェル 単価・原価（粗利は税抜同士）</t>
  </si>
  <si>
    <t xml:space="preserve">ジェル卸価格（税抜）</t>
  </si>
  <si>
    <t xml:space="preserve">サロンへの卸単価。基準</t>
  </si>
  <si>
    <r>
      <rPr>
        <sz val="11"/>
        <rFont val="Noto Sans CJK SC"/>
        <family val="2"/>
      </rPr>
      <t xml:space="preserve">ジェル卸価格（税込</t>
    </r>
    <r>
      <rPr>
        <sz val="11"/>
        <rFont val="Arial"/>
        <family val="0"/>
        <charset val="1"/>
      </rPr>
      <t xml:space="preserve">10%</t>
    </r>
    <r>
      <rPr>
        <sz val="11"/>
        <rFont val="Noto Sans CJK SC"/>
        <family val="2"/>
      </rPr>
      <t xml:space="preserve">）</t>
    </r>
  </si>
  <si>
    <r>
      <rPr>
        <sz val="10"/>
        <color rgb="FF8B857A"/>
        <rFont val="Noto Sans CJK SC"/>
        <family val="2"/>
      </rPr>
      <t xml:space="preserve">税抜</t>
    </r>
    <r>
      <rPr>
        <sz val="10"/>
        <color rgb="FF8B857A"/>
        <rFont val="Arial"/>
        <family val="0"/>
        <charset val="1"/>
      </rPr>
      <t xml:space="preserve">×1.1</t>
    </r>
    <r>
      <rPr>
        <sz val="10"/>
        <color rgb="FF8B857A"/>
        <rFont val="Noto Sans CJK SC"/>
        <family val="2"/>
      </rPr>
      <t xml:space="preserve">（＝</t>
    </r>
    <r>
      <rPr>
        <sz val="10"/>
        <color rgb="FF8B857A"/>
        <rFont val="Arial"/>
        <family val="0"/>
        <charset val="1"/>
      </rPr>
      <t xml:space="preserve">¥5,280</t>
    </r>
    <r>
      <rPr>
        <sz val="10"/>
        <color rgb="FF8B857A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</si>
  <si>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OEM</t>
    </r>
    <r>
      <rPr>
        <sz val="11"/>
        <rFont val="Noto Sans CJK SC"/>
        <family val="2"/>
      </rPr>
      <t xml:space="preserve">原価・</t>
    </r>
    <r>
      <rPr>
        <sz val="11"/>
        <rFont val="Arial"/>
        <family val="0"/>
        <charset val="1"/>
      </rPr>
      <t xml:space="preserve">1,000</t>
    </r>
    <r>
      <rPr>
        <sz val="11"/>
        <rFont val="Noto Sans CJK SC"/>
        <family val="2"/>
      </rPr>
      <t xml:space="preserve">本ロット（税抜）</t>
    </r>
  </si>
  <si>
    <r>
      <rPr>
        <sz val="11"/>
        <rFont val="Arial"/>
        <family val="0"/>
        <charset val="1"/>
      </rPr>
      <t xml:space="preserve">OEM</t>
    </r>
    <r>
      <rPr>
        <sz val="11"/>
        <rFont val="Noto Sans CJK SC"/>
        <family val="2"/>
      </rPr>
      <t xml:space="preserve">原価・</t>
    </r>
    <r>
      <rPr>
        <sz val="11"/>
        <rFont val="Arial"/>
        <family val="0"/>
        <charset val="1"/>
      </rPr>
      <t xml:space="preserve">500</t>
    </r>
    <r>
      <rPr>
        <sz val="11"/>
        <rFont val="Noto Sans CJK SC"/>
        <family val="2"/>
      </rPr>
      <t xml:space="preserve">本ロット（税抜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参考）</t>
    </r>
  </si>
  <si>
    <t xml:space="preserve">採用原価（大量発注）</t>
  </si>
  <si>
    <t xml:space="preserve">粗利／本（税抜）</t>
  </si>
  <si>
    <t xml:space="preserve">粗利率</t>
  </si>
  <si>
    <t xml:space="preserve">◤ ジェル 消費前提</t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</si>
  <si>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本あたり容量（</t>
    </r>
    <r>
      <rPr>
        <sz val="11"/>
        <rFont val="Arial"/>
        <family val="0"/>
        <charset val="1"/>
      </rPr>
      <t xml:space="preserve">ml</t>
    </r>
    <r>
      <rPr>
        <sz val="11"/>
        <rFont val="Noto Sans CJK SC"/>
        <family val="2"/>
      </rPr>
      <t xml:space="preserve">）</t>
    </r>
  </si>
  <si>
    <r>
      <rPr>
        <sz val="10"/>
        <color rgb="FF8B857A"/>
        <rFont val="Arial"/>
        <family val="0"/>
        <charset val="1"/>
      </rPr>
      <t xml:space="preserve">750</t>
    </r>
    <r>
      <rPr>
        <sz val="10"/>
        <color rgb="FF8B857A"/>
        <rFont val="Noto Sans CJK SC"/>
        <family val="2"/>
      </rPr>
      <t xml:space="preserve">〜</t>
    </r>
    <r>
      <rPr>
        <sz val="10"/>
        <color rgb="FF8B857A"/>
        <rFont val="Arial"/>
        <family val="0"/>
        <charset val="1"/>
      </rPr>
      <t xml:space="preserve">800ml</t>
    </r>
    <r>
      <rPr>
        <sz val="10"/>
        <color rgb="FF8B857A"/>
        <rFont val="Noto Sans CJK SC"/>
        <family val="2"/>
      </rPr>
      <t xml:space="preserve">。控えめに</t>
    </r>
    <r>
      <rPr>
        <sz val="10"/>
        <color rgb="FF8B857A"/>
        <rFont val="Arial"/>
        <family val="0"/>
        <charset val="1"/>
      </rPr>
      <t xml:space="preserve">750</t>
    </r>
    <r>
      <rPr>
        <sz val="10"/>
        <color rgb="FF8B857A"/>
        <rFont val="Noto Sans CJK SC"/>
        <family val="2"/>
      </rPr>
      <t xml:space="preserve">で試算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</si>
  <si>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施術あたり使用量（</t>
    </r>
    <r>
      <rPr>
        <sz val="11"/>
        <rFont val="Arial"/>
        <family val="0"/>
        <charset val="1"/>
      </rPr>
      <t xml:space="preserve">ml</t>
    </r>
    <r>
      <rPr>
        <sz val="11"/>
        <rFont val="Noto Sans CJK SC"/>
        <family val="2"/>
      </rPr>
      <t xml:space="preserve">）</t>
    </r>
  </si>
  <si>
    <r>
      <rPr>
        <sz val="10"/>
        <color rgb="FF8B857A"/>
        <rFont val="Arial"/>
        <family val="0"/>
        <charset val="1"/>
      </rPr>
      <t xml:space="preserve">60</t>
    </r>
    <r>
      <rPr>
        <sz val="10"/>
        <color rgb="FF8B857A"/>
        <rFont val="Noto Sans CJK SC"/>
        <family val="2"/>
      </rPr>
      <t xml:space="preserve">分施術で約</t>
    </r>
    <r>
      <rPr>
        <sz val="10"/>
        <color rgb="FF8B857A"/>
        <rFont val="Arial"/>
        <family val="0"/>
        <charset val="1"/>
      </rPr>
      <t xml:space="preserve">30ml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</si>
  <si>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本あたり施術回数</t>
    </r>
  </si>
  <si>
    <r>
      <rPr>
        <sz val="10"/>
        <color rgb="FF8B857A"/>
        <rFont val="Noto Sans CJK SC"/>
        <family val="2"/>
      </rPr>
      <t xml:space="preserve">容量</t>
    </r>
    <r>
      <rPr>
        <sz val="10"/>
        <color rgb="FF8B857A"/>
        <rFont val="Arial"/>
        <family val="0"/>
        <charset val="1"/>
      </rPr>
      <t xml:space="preserve">÷</t>
    </r>
    <r>
      <rPr>
        <sz val="10"/>
        <color rgb="FF8B857A"/>
        <rFont val="Noto Sans CJK SC"/>
        <family val="2"/>
      </rPr>
      <t xml:space="preserve">使用量（＝</t>
    </r>
    <r>
      <rPr>
        <sz val="10"/>
        <color rgb="FF8B857A"/>
        <rFont val="Arial"/>
        <family val="0"/>
        <charset val="1"/>
      </rPr>
      <t xml:space="preserve">25</t>
    </r>
    <r>
      <rPr>
        <sz val="10"/>
        <color rgb="FF8B857A"/>
        <rFont val="Noto Sans CJK SC"/>
        <family val="2"/>
      </rPr>
      <t xml:space="preserve">回）</t>
    </r>
  </si>
  <si>
    <r>
      <rPr>
        <b val="true"/>
        <sz val="11"/>
        <rFont val="Noto Sans CJK SC"/>
        <family val="2"/>
      </rPr>
      <t xml:space="preserve">◤ 機械・契約（</t>
    </r>
    <r>
      <rPr>
        <b val="true"/>
        <sz val="11"/>
        <rFont val="Arial"/>
        <family val="0"/>
        <charset val="1"/>
      </rPr>
      <t xml:space="preserve">ToB</t>
    </r>
    <r>
      <rPr>
        <b val="true"/>
        <sz val="11"/>
        <rFont val="Noto Sans CJK SC"/>
        <family val="2"/>
      </rPr>
      <t xml:space="preserve">／リース基本）</t>
    </r>
  </si>
  <si>
    <t xml:space="preserve">初期費用／台（契約時・別途）</t>
  </si>
  <si>
    <r>
      <rPr>
        <sz val="10"/>
        <color rgb="FF8B857A"/>
        <rFont val="Noto Sans CJK SC"/>
        <family val="2"/>
      </rPr>
      <t xml:space="preserve">導入費（設置</t>
    </r>
    <r>
      <rPr>
        <sz val="10"/>
        <color rgb="FF8B857A"/>
        <rFont val="Arial"/>
        <family val="0"/>
        <charset val="1"/>
      </rPr>
      <t xml:space="preserve">/</t>
    </r>
    <r>
      <rPr>
        <sz val="10"/>
        <color rgb="FF8B857A"/>
        <rFont val="Noto Sans CJK SC"/>
        <family val="2"/>
      </rPr>
      <t xml:space="preserve">初期設定</t>
    </r>
    <r>
      <rPr>
        <sz val="10"/>
        <color rgb="FF8B857A"/>
        <rFont val="Arial"/>
        <family val="0"/>
        <charset val="1"/>
      </rPr>
      <t xml:space="preserve">/</t>
    </r>
    <r>
      <rPr>
        <sz val="10"/>
        <color rgb="FF8B857A"/>
        <rFont val="Noto Sans CJK SC"/>
        <family val="2"/>
      </rPr>
      <t xml:space="preserve">研修）。リースとは別・一度きり</t>
    </r>
  </si>
  <si>
    <t xml:space="preserve">月額リース／台</t>
  </si>
  <si>
    <r>
      <rPr>
        <sz val="10"/>
        <color rgb="FF8B857A"/>
        <rFont val="Arial"/>
        <family val="0"/>
        <charset val="1"/>
      </rPr>
      <t xml:space="preserve">7</t>
    </r>
    <r>
      <rPr>
        <sz val="10"/>
        <color rgb="FF8B857A"/>
        <rFont val="Noto Sans CJK SC"/>
        <family val="2"/>
      </rPr>
      <t xml:space="preserve">カ月目〜課金（初期費用充当後）</t>
    </r>
  </si>
  <si>
    <t xml:space="preserve">リース課金開始月（各台）</t>
  </si>
  <si>
    <r>
      <rPr>
        <sz val="10"/>
        <color rgb="FF8B857A"/>
        <rFont val="Noto Sans CJK SC"/>
        <family val="2"/>
      </rPr>
      <t xml:space="preserve">契約時（</t>
    </r>
    <r>
      <rPr>
        <sz val="10"/>
        <color rgb="FF8B857A"/>
        <rFont val="Arial"/>
        <family val="0"/>
        <charset val="1"/>
      </rPr>
      <t xml:space="preserve">1</t>
    </r>
    <r>
      <rPr>
        <sz val="10"/>
        <color rgb="FF8B857A"/>
        <rFont val="Noto Sans CJK SC"/>
        <family val="2"/>
      </rPr>
      <t xml:space="preserve">カ月目）から課金。初期費用は別途</t>
    </r>
  </si>
  <si>
    <r>
      <rPr>
        <sz val="11"/>
        <rFont val="Noto Sans CJK SC"/>
        <family val="2"/>
      </rPr>
      <t xml:space="preserve">ジェル無償サービス（契約時）本数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台</t>
    </r>
  </si>
  <si>
    <r>
      <rPr>
        <sz val="10"/>
        <color rgb="FF8B857A"/>
        <rFont val="Noto Sans CJK SC"/>
        <family val="2"/>
      </rPr>
      <t xml:space="preserve">販促。コスト＝原価</t>
    </r>
    <r>
      <rPr>
        <sz val="10"/>
        <color rgb="FF8B857A"/>
        <rFont val="Arial"/>
        <family val="0"/>
        <charset val="1"/>
      </rPr>
      <t xml:space="preserve">×</t>
    </r>
    <r>
      <rPr>
        <sz val="10"/>
        <color rgb="FF8B857A"/>
        <rFont val="Noto Sans CJK SC"/>
        <family val="2"/>
      </rPr>
      <t xml:space="preserve">本数</t>
    </r>
  </si>
  <si>
    <t xml:space="preserve">機械原価／台（任意・リース粗利算定用）</t>
  </si>
  <si>
    <r>
      <rPr>
        <sz val="10"/>
        <color rgb="FF8B857A"/>
        <rFont val="Noto Sans CJK SC"/>
        <family val="2"/>
      </rPr>
      <t xml:space="preserve">分かれば入力。</t>
    </r>
    <r>
      <rPr>
        <sz val="10"/>
        <color rgb="FF8B857A"/>
        <rFont val="Arial"/>
        <family val="0"/>
        <charset val="1"/>
      </rPr>
      <t xml:space="preserve">0</t>
    </r>
    <r>
      <rPr>
        <sz val="10"/>
        <color rgb="FF8B857A"/>
        <rFont val="Noto Sans CJK SC"/>
        <family val="2"/>
      </rPr>
      <t xml:space="preserve">ならリース＝ほぼ粗利として表示</t>
    </r>
  </si>
  <si>
    <r>
      <rPr>
        <b val="true"/>
        <sz val="11"/>
        <rFont val="Noto Sans CJK SC"/>
        <family val="2"/>
      </rPr>
      <t xml:space="preserve">◤ 稼働・導入計画（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年で</t>
    </r>
    <r>
      <rPr>
        <b val="true"/>
        <sz val="11"/>
        <rFont val="Arial"/>
        <family val="0"/>
        <charset val="1"/>
      </rPr>
      <t xml:space="preserve">1,000</t>
    </r>
    <r>
      <rPr>
        <b val="true"/>
        <sz val="11"/>
        <rFont val="Noto Sans CJK SC"/>
        <family val="2"/>
      </rPr>
      <t xml:space="preserve">台）</t>
    </r>
  </si>
  <si>
    <r>
      <rPr>
        <sz val="11"/>
        <rFont val="Noto Sans CJK SC"/>
        <family val="2"/>
      </rPr>
      <t xml:space="preserve">採用稼働（施術回数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台）</t>
    </r>
  </si>
  <si>
    <r>
      <rPr>
        <sz val="10"/>
        <color rgb="FF8B857A"/>
        <rFont val="Noto Sans CJK SC"/>
        <family val="2"/>
      </rPr>
      <t xml:space="preserve">標準</t>
    </r>
    <r>
      <rPr>
        <sz val="10"/>
        <color rgb="FF8B857A"/>
        <rFont val="Arial"/>
        <family val="0"/>
        <charset val="1"/>
      </rPr>
      <t xml:space="preserve">=88</t>
    </r>
    <r>
      <rPr>
        <sz val="10"/>
        <color rgb="FF8B857A"/>
        <rFont val="Noto Sans CJK SC"/>
        <family val="2"/>
      </rPr>
      <t xml:space="preserve">（</t>
    </r>
    <r>
      <rPr>
        <sz val="10"/>
        <color rgb="FF8B857A"/>
        <rFont val="Arial"/>
        <family val="0"/>
        <charset val="1"/>
      </rPr>
      <t xml:space="preserve">4</t>
    </r>
    <r>
      <rPr>
        <sz val="10"/>
        <color rgb="FF8B857A"/>
        <rFont val="Noto Sans CJK SC"/>
        <family val="2"/>
      </rPr>
      <t xml:space="preserve">回</t>
    </r>
    <r>
      <rPr>
        <sz val="10"/>
        <color rgb="FF8B857A"/>
        <rFont val="Arial"/>
        <family val="0"/>
        <charset val="1"/>
      </rPr>
      <t xml:space="preserve">/</t>
    </r>
    <r>
      <rPr>
        <sz val="10"/>
        <color rgb="FF8B857A"/>
        <rFont val="Noto Sans CJK SC"/>
        <family val="2"/>
      </rPr>
      <t xml:space="preserve">日</t>
    </r>
    <r>
      <rPr>
        <sz val="10"/>
        <color rgb="FF8B857A"/>
        <rFont val="Arial"/>
        <family val="0"/>
        <charset val="1"/>
      </rPr>
      <t xml:space="preserve">×22</t>
    </r>
    <r>
      <rPr>
        <sz val="10"/>
        <color rgb="FF8B857A"/>
        <rFont val="Noto Sans CJK SC"/>
        <family val="2"/>
      </rPr>
      <t xml:space="preserve">日）。控えめ</t>
    </r>
    <r>
      <rPr>
        <sz val="10"/>
        <color rgb="FF8B857A"/>
        <rFont val="Arial"/>
        <family val="0"/>
        <charset val="1"/>
      </rPr>
      <t xml:space="preserve">44</t>
    </r>
    <r>
      <rPr>
        <sz val="10"/>
        <color rgb="FF8B857A"/>
        <rFont val="Noto Sans CJK SC"/>
        <family val="2"/>
      </rPr>
      <t xml:space="preserve">／高稼働</t>
    </r>
    <r>
      <rPr>
        <sz val="10"/>
        <color rgb="FF8B857A"/>
        <rFont val="Arial"/>
        <family val="0"/>
        <charset val="1"/>
      </rPr>
      <t xml:space="preserve">200</t>
    </r>
  </si>
  <si>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年目 導入台数（台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年）</t>
    </r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</si>
  <si>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年目 導入台数（台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年）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</si>
  <si>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年目 導入台数（台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年）</t>
    </r>
  </si>
  <si>
    <r>
      <rPr>
        <sz val="10"/>
        <color rgb="FF8B857A"/>
        <rFont val="Arial"/>
        <family val="0"/>
        <charset val="1"/>
      </rPr>
      <t xml:space="preserve">3</t>
    </r>
    <r>
      <rPr>
        <sz val="10"/>
        <color rgb="FF8B857A"/>
        <rFont val="Noto Sans CJK SC"/>
        <family val="2"/>
      </rPr>
      <t xml:space="preserve">年累計＝</t>
    </r>
    <r>
      <rPr>
        <sz val="10"/>
        <color rgb="FF8B857A"/>
        <rFont val="Arial"/>
        <family val="0"/>
        <charset val="1"/>
      </rPr>
      <t xml:space="preserve">1,000</t>
    </r>
    <r>
      <rPr>
        <sz val="10"/>
        <color rgb="FF8B857A"/>
        <rFont val="Noto Sans CJK SC"/>
        <family val="2"/>
      </rPr>
      <t xml:space="preserve">台</t>
    </r>
  </si>
  <si>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年累計 導入台数</t>
    </r>
  </si>
  <si>
    <r>
      <rPr>
        <b val="true"/>
        <sz val="11"/>
        <rFont val="Noto Sans CJK SC"/>
        <family val="2"/>
      </rPr>
      <t xml:space="preserve">◤ 稼働シナリオ（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台あたり月次）</t>
    </r>
  </si>
  <si>
    <t xml:space="preserve">シナリオ</t>
  </si>
  <si>
    <r>
      <rPr>
        <b val="true"/>
        <sz val="11"/>
        <color rgb="FFFFFFFF"/>
        <rFont val="Noto Sans CJK SC"/>
        <family val="2"/>
      </rPr>
      <t xml:space="preserve">回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</si>
  <si>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Noto Sans CJK SC"/>
        <family val="2"/>
      </rPr>
      <t xml:space="preserve">稼働日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</si>
  <si>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施術回数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</si>
  <si>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消費本数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</si>
  <si>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ジェル売上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</si>
  <si>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ジェル粗利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</si>
  <si>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t xml:space="preserve">控えめ</t>
  </si>
  <si>
    <t xml:space="preserve">標準（採用）</t>
  </si>
  <si>
    <t xml:space="preserve">高稼働</t>
  </si>
  <si>
    <r>
      <rPr>
        <b val="true"/>
        <sz val="14"/>
        <color rgb="FF16130E"/>
        <rFont val="Arial"/>
        <family val="0"/>
        <charset val="1"/>
      </rPr>
      <t xml:space="preserve">1,000</t>
    </r>
    <r>
      <rPr>
        <b val="true"/>
        <sz val="14"/>
        <color rgb="FF16130E"/>
        <rFont val="Noto Sans CJK SC"/>
        <family val="2"/>
      </rPr>
      <t xml:space="preserve">台フル稼働時の 月間利益構造（定常・全台リース課金）</t>
    </r>
  </si>
  <si>
    <r>
      <rPr>
        <sz val="10"/>
        <color rgb="FF8B857A"/>
        <rFont val="Noto Sans CJK SC"/>
        <family val="2"/>
      </rPr>
      <t xml:space="preserve">対象台数（青字）を変えると再計算。初期費用は新規契約時のみ発生のため定常＝</t>
    </r>
    <r>
      <rPr>
        <sz val="10"/>
        <color rgb="FF8B857A"/>
        <rFont val="Arial"/>
        <family val="0"/>
        <charset val="1"/>
      </rPr>
      <t xml:space="preserve">0</t>
    </r>
    <r>
      <rPr>
        <sz val="10"/>
        <color rgb="FF8B857A"/>
        <rFont val="Noto Sans CJK SC"/>
        <family val="2"/>
      </rPr>
      <t xml:space="preserve">。</t>
    </r>
  </si>
  <si>
    <t xml:space="preserve">対象台数</t>
  </si>
  <si>
    <t xml:space="preserve">台数</t>
  </si>
  <si>
    <r>
      <rPr>
        <b val="true"/>
        <sz val="11"/>
        <color rgb="FFFFFFFF"/>
        <rFont val="Noto Sans CJK SC"/>
        <family val="2"/>
      </rPr>
      <t xml:space="preserve">ジェル消費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本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</si>
  <si>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機械リース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月</t>
    </r>
  </si>
  <si>
    <r>
      <rPr>
        <b val="true"/>
        <sz val="11"/>
        <color rgb="FFFFFFFF"/>
        <rFont val="Noto Sans CJK SC"/>
        <family val="2"/>
      </rPr>
      <t xml:space="preserve">月間 </t>
    </r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売上</t>
    </r>
  </si>
  <si>
    <r>
      <rPr>
        <b val="true"/>
        <sz val="11"/>
        <color rgb="FFFFFFFF"/>
        <rFont val="Noto Sans CJK SC"/>
        <family val="2"/>
      </rPr>
      <t xml:space="preserve">月間 </t>
    </r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粗利</t>
    </r>
  </si>
  <si>
    <r>
      <rPr>
        <b val="true"/>
        <sz val="11"/>
        <color rgb="FFFFFFFF"/>
        <rFont val="Noto Sans CJK SC"/>
        <family val="2"/>
      </rPr>
      <t xml:space="preserve">月間</t>
    </r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粗利 年換算</t>
    </r>
  </si>
  <si>
    <t xml:space="preserve">標準</t>
  </si>
  <si>
    <r>
      <rPr>
        <sz val="10"/>
        <color rgb="FF8B857A"/>
        <rFont val="Noto Sans CJK SC"/>
        <family val="2"/>
      </rPr>
      <t xml:space="preserve">※月間</t>
    </r>
    <r>
      <rPr>
        <sz val="10"/>
        <color rgb="FF8B857A"/>
        <rFont val="Arial"/>
        <family val="0"/>
        <charset val="1"/>
      </rPr>
      <t xml:space="preserve">ToB</t>
    </r>
    <r>
      <rPr>
        <sz val="10"/>
        <color rgb="FF8B857A"/>
        <rFont val="Noto Sans CJK SC"/>
        <family val="2"/>
      </rPr>
      <t xml:space="preserve">粗利＝ジェル粗利＋機械リース売上−機械原価（機械原価は前提</t>
    </r>
    <r>
      <rPr>
        <sz val="10"/>
        <color rgb="FF8B857A"/>
        <rFont val="Arial"/>
        <family val="0"/>
        <charset val="1"/>
      </rPr>
      <t xml:space="preserve">B23</t>
    </r>
    <r>
      <rPr>
        <sz val="10"/>
        <color rgb="FF8B857A"/>
        <rFont val="Noto Sans CJK SC"/>
        <family val="2"/>
      </rPr>
      <t xml:space="preserve">、既定</t>
    </r>
    <r>
      <rPr>
        <sz val="10"/>
        <color rgb="FF8B857A"/>
        <rFont val="Arial"/>
        <family val="0"/>
        <charset val="1"/>
      </rPr>
      <t xml:space="preserve">0</t>
    </r>
    <r>
      <rPr>
        <sz val="10"/>
        <color rgb="FF8B857A"/>
        <rFont val="Noto Sans CJK SC"/>
        <family val="2"/>
      </rPr>
      <t xml:space="preserve">）。固定費（家賃・人件費等）控除前。</t>
    </r>
  </si>
  <si>
    <r>
      <rPr>
        <sz val="10"/>
        <color rgb="FF8B857A"/>
        <rFont val="Noto Sans CJK SC"/>
        <family val="2"/>
      </rPr>
      <t xml:space="preserve">※定常（新規導入停止）想定。もし</t>
    </r>
    <r>
      <rPr>
        <sz val="10"/>
        <color rgb="FF8B857A"/>
        <rFont val="Arial"/>
        <family val="0"/>
        <charset val="1"/>
      </rPr>
      <t xml:space="preserve">1,000</t>
    </r>
    <r>
      <rPr>
        <sz val="10"/>
        <color rgb="FF8B857A"/>
        <rFont val="Noto Sans CJK SC"/>
        <family val="2"/>
      </rPr>
      <t xml:space="preserve">台到達後も月次で導入継続する場合は 初期費用（</t>
    </r>
    <r>
      <rPr>
        <sz val="10"/>
        <color rgb="FF8B857A"/>
        <rFont val="Arial"/>
        <family val="0"/>
        <charset val="1"/>
      </rPr>
      <t xml:space="preserve">=</t>
    </r>
    <r>
      <rPr>
        <sz val="10"/>
        <color rgb="FF8B857A"/>
        <rFont val="Noto Sans CJK SC"/>
        <family val="2"/>
      </rPr>
      <t xml:space="preserve">新規台数</t>
    </r>
    <r>
      <rPr>
        <sz val="10"/>
        <color rgb="FF8B857A"/>
        <rFont val="Arial"/>
        <family val="0"/>
        <charset val="1"/>
      </rPr>
      <t xml:space="preserve">×¥330,000</t>
    </r>
    <r>
      <rPr>
        <sz val="10"/>
        <color rgb="FF8B857A"/>
        <rFont val="Noto Sans CJK SC"/>
        <family val="2"/>
      </rPr>
      <t xml:space="preserve">）が別途上乗せ。</t>
    </r>
  </si>
  <si>
    <r>
      <rPr>
        <b val="true"/>
        <sz val="14"/>
        <color rgb="FF16130E"/>
        <rFont val="Arial"/>
        <family val="0"/>
        <charset val="1"/>
      </rPr>
      <t xml:space="preserve">3</t>
    </r>
    <r>
      <rPr>
        <b val="true"/>
        <sz val="14"/>
        <color rgb="FF16130E"/>
        <rFont val="Noto Sans CJK SC"/>
        <family val="2"/>
      </rPr>
      <t xml:space="preserve">年計画（月次・リース課金は各台</t>
    </r>
    <r>
      <rPr>
        <b val="true"/>
        <sz val="14"/>
        <color rgb="FF16130E"/>
        <rFont val="Arial"/>
        <family val="0"/>
        <charset val="1"/>
      </rPr>
      <t xml:space="preserve">7</t>
    </r>
    <r>
      <rPr>
        <b val="true"/>
        <sz val="14"/>
        <color rgb="FF16130E"/>
        <rFont val="Noto Sans CJK SC"/>
        <family val="2"/>
      </rPr>
      <t xml:space="preserve">カ月目〜）</t>
    </r>
  </si>
  <si>
    <r>
      <rPr>
        <sz val="10"/>
        <color rgb="FF8B857A"/>
        <rFont val="Noto Sans CJK SC"/>
        <family val="2"/>
      </rPr>
      <t xml:space="preserve">前提の導入台数・稼働・単価を変えると再計算。累計台数は</t>
    </r>
    <r>
      <rPr>
        <sz val="10"/>
        <color rgb="FF8B857A"/>
        <rFont val="Arial"/>
        <family val="0"/>
        <charset val="1"/>
      </rPr>
      <t xml:space="preserve">3</t>
    </r>
    <r>
      <rPr>
        <sz val="10"/>
        <color rgb="FF8B857A"/>
        <rFont val="Noto Sans CJK SC"/>
        <family val="2"/>
      </rPr>
      <t xml:space="preserve">年目末に</t>
    </r>
    <r>
      <rPr>
        <sz val="10"/>
        <color rgb="FF8B857A"/>
        <rFont val="Arial"/>
        <family val="0"/>
        <charset val="1"/>
      </rPr>
      <t xml:space="preserve">1,000</t>
    </r>
    <r>
      <rPr>
        <sz val="10"/>
        <color rgb="FF8B857A"/>
        <rFont val="Noto Sans CJK SC"/>
        <family val="2"/>
      </rPr>
      <t xml:space="preserve">台。</t>
    </r>
  </si>
  <si>
    <t xml:space="preserve">年</t>
  </si>
  <si>
    <t xml:space="preserve">期末累計台数</t>
  </si>
  <si>
    <t xml:space="preserve">期末リース課金台数</t>
  </si>
  <si>
    <t xml:space="preserve">初期費用売上</t>
  </si>
  <si>
    <t xml:space="preserve">リース売上</t>
  </si>
  <si>
    <t xml:space="preserve">ジェル売上</t>
  </si>
  <si>
    <t xml:space="preserve">ジェル粗利</t>
  </si>
  <si>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売上計</t>
    </r>
  </si>
  <si>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粗利計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</si>
  <si>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年目</t>
    </r>
  </si>
  <si>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年目</t>
    </r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</si>
  <si>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年目</t>
    </r>
  </si>
  <si>
    <t xml:space="preserve">月</t>
  </si>
  <si>
    <t xml:space="preserve">新規導入</t>
  </si>
  <si>
    <t xml:space="preserve">累計台数</t>
  </si>
  <si>
    <t xml:space="preserve">リース課金台数</t>
  </si>
  <si>
    <t xml:space="preserve">施術回数</t>
  </si>
  <si>
    <t xml:space="preserve">消費本数</t>
  </si>
  <si>
    <r>
      <rPr>
        <b val="true"/>
        <sz val="11"/>
        <color rgb="FFFFFFFF"/>
        <rFont val="Noto Sans CJK SC"/>
        <family val="2"/>
      </rPr>
      <t xml:space="preserve">ジェル粗利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</si>
  <si>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売上</t>
    </r>
  </si>
  <si>
    <r>
      <rPr>
        <b val="true"/>
        <sz val="11"/>
        <color rgb="FFFFFFFF"/>
        <rFont val="Arial"/>
        <family val="0"/>
        <charset val="1"/>
      </rPr>
      <t xml:space="preserve">ToB</t>
    </r>
    <r>
      <rPr>
        <b val="true"/>
        <sz val="11"/>
        <color rgb="FFFFFFFF"/>
        <rFont val="Noto Sans CJK SC"/>
        <family val="2"/>
      </rPr>
      <t xml:space="preserve">粗利</t>
    </r>
  </si>
  <si>
    <r>
      <rPr>
        <sz val="10"/>
        <color rgb="FF8B857A"/>
        <rFont val="Noto Sans CJK SC"/>
        <family val="2"/>
      </rPr>
      <t xml:space="preserve">※リースは契約時（</t>
    </r>
    <r>
      <rPr>
        <sz val="10"/>
        <color rgb="FF8B857A"/>
        <rFont val="Arial"/>
        <family val="0"/>
        <charset val="1"/>
      </rPr>
      <t xml:space="preserve">1</t>
    </r>
    <r>
      <rPr>
        <sz val="10"/>
        <color rgb="FF8B857A"/>
        <rFont val="Noto Sans CJK SC"/>
        <family val="2"/>
      </rPr>
      <t xml:space="preserve">カ月目）から課金＝課金台数は累計台数。初期費用</t>
    </r>
    <r>
      <rPr>
        <sz val="10"/>
        <color rgb="FF8B857A"/>
        <rFont val="Arial"/>
        <family val="0"/>
        <charset val="1"/>
      </rPr>
      <t xml:space="preserve">¥330,000</t>
    </r>
    <r>
      <rPr>
        <sz val="10"/>
        <color rgb="FF8B857A"/>
        <rFont val="Noto Sans CJK SC"/>
        <family val="2"/>
      </rPr>
      <t xml:space="preserve">は別途の導入費（設置</t>
    </r>
    <r>
      <rPr>
        <sz val="10"/>
        <color rgb="FF8B857A"/>
        <rFont val="Arial"/>
        <family val="0"/>
        <charset val="1"/>
      </rPr>
      <t xml:space="preserve">/</t>
    </r>
    <r>
      <rPr>
        <sz val="10"/>
        <color rgb="FF8B857A"/>
        <rFont val="Noto Sans CJK SC"/>
        <family val="2"/>
      </rPr>
      <t xml:space="preserve">初期設定</t>
    </r>
    <r>
      <rPr>
        <sz val="10"/>
        <color rgb="FF8B857A"/>
        <rFont val="Arial"/>
        <family val="0"/>
        <charset val="1"/>
      </rPr>
      <t xml:space="preserve">/</t>
    </r>
    <r>
      <rPr>
        <sz val="10"/>
        <color rgb="FF8B857A"/>
        <rFont val="Noto Sans CJK SC"/>
        <family val="2"/>
      </rPr>
      <t xml:space="preserve">研修）。一括</t>
    </r>
    <r>
      <rPr>
        <sz val="10"/>
        <color rgb="FF8B857A"/>
        <rFont val="Arial"/>
        <family val="0"/>
        <charset val="1"/>
      </rPr>
      <t xml:space="preserve">¥1,980,000</t>
    </r>
    <r>
      <rPr>
        <sz val="10"/>
        <color rgb="FF8B857A"/>
        <rFont val="Noto Sans CJK SC"/>
        <family val="2"/>
      </rPr>
      <t xml:space="preserve">／リース</t>
    </r>
    <r>
      <rPr>
        <sz val="10"/>
        <color rgb="FF8B857A"/>
        <rFont val="Arial"/>
        <family val="0"/>
        <charset val="1"/>
      </rPr>
      <t xml:space="preserve">3</t>
    </r>
    <r>
      <rPr>
        <sz val="10"/>
        <color rgb="FF8B857A"/>
        <rFont val="Noto Sans CJK SC"/>
        <family val="2"/>
      </rPr>
      <t xml:space="preserve">年総額</t>
    </r>
    <r>
      <rPr>
        <sz val="10"/>
        <color rgb="FF8B857A"/>
        <rFont val="Arial"/>
        <family val="0"/>
        <charset val="1"/>
      </rPr>
      <t xml:space="preserve">¥2,310,000</t>
    </r>
    <r>
      <rPr>
        <sz val="10"/>
        <color rgb="FF8B857A"/>
        <rFont val="Noto Sans CJK SC"/>
        <family val="2"/>
      </rPr>
      <t xml:space="preserve">（一括</t>
    </r>
    <r>
      <rPr>
        <sz val="10"/>
        <color rgb="FF8B857A"/>
        <rFont val="Arial"/>
        <family val="0"/>
        <charset val="1"/>
      </rPr>
      <t xml:space="preserve">+17%</t>
    </r>
    <r>
      <rPr>
        <sz val="10"/>
        <color rgb="FF8B857A"/>
        <rFont val="Noto Sans CJK SC"/>
        <family val="2"/>
      </rPr>
      <t xml:space="preserve">・保守込み）。</t>
    </r>
  </si>
  <si>
    <r>
      <rPr>
        <sz val="10"/>
        <color rgb="FF8B857A"/>
        <rFont val="Noto Sans CJK SC"/>
        <family val="2"/>
      </rPr>
      <t xml:space="preserve">※ジェル粗利</t>
    </r>
    <r>
      <rPr>
        <sz val="10"/>
        <color rgb="FF8B857A"/>
        <rFont val="Arial"/>
        <family val="0"/>
        <charset val="1"/>
      </rPr>
      <t xml:space="preserve">(</t>
    </r>
    <r>
      <rPr>
        <sz val="10"/>
        <color rgb="FF8B857A"/>
        <rFont val="Noto Sans CJK SC"/>
        <family val="2"/>
      </rPr>
      <t xml:space="preserve">純</t>
    </r>
    <r>
      <rPr>
        <sz val="10"/>
        <color rgb="FF8B857A"/>
        <rFont val="Arial"/>
        <family val="0"/>
        <charset val="1"/>
      </rPr>
      <t xml:space="preserve">)</t>
    </r>
    <r>
      <rPr>
        <sz val="10"/>
        <color rgb="FF8B857A"/>
        <rFont val="Noto Sans CJK SC"/>
        <family val="2"/>
      </rPr>
      <t xml:space="preserve">＝消費本数</t>
    </r>
    <r>
      <rPr>
        <sz val="10"/>
        <color rgb="FF8B857A"/>
        <rFont val="Arial"/>
        <family val="0"/>
        <charset val="1"/>
      </rPr>
      <t xml:space="preserve">×</t>
    </r>
    <r>
      <rPr>
        <sz val="10"/>
        <color rgb="FF8B857A"/>
        <rFont val="Noto Sans CJK SC"/>
        <family val="2"/>
      </rPr>
      <t xml:space="preserve">粗利−無償提供</t>
    </r>
    <r>
      <rPr>
        <sz val="10"/>
        <color rgb="FF8B857A"/>
        <rFont val="Arial"/>
        <family val="0"/>
        <charset val="1"/>
      </rPr>
      <t xml:space="preserve">(</t>
    </r>
    <r>
      <rPr>
        <sz val="10"/>
        <color rgb="FF8B857A"/>
        <rFont val="Noto Sans CJK SC"/>
        <family val="2"/>
      </rPr>
      <t xml:space="preserve">新規</t>
    </r>
    <r>
      <rPr>
        <sz val="10"/>
        <color rgb="FF8B857A"/>
        <rFont val="Arial"/>
        <family val="0"/>
        <charset val="1"/>
      </rPr>
      <t xml:space="preserve">×</t>
    </r>
    <r>
      <rPr>
        <sz val="10"/>
        <color rgb="FF8B857A"/>
        <rFont val="Noto Sans CJK SC"/>
        <family val="2"/>
      </rPr>
      <t xml:space="preserve">原価</t>
    </r>
    <r>
      <rPr>
        <sz val="10"/>
        <color rgb="FF8B857A"/>
        <rFont val="Arial"/>
        <family val="0"/>
        <charset val="1"/>
      </rPr>
      <t xml:space="preserve">)</t>
    </r>
    <r>
      <rPr>
        <sz val="10"/>
        <color rgb="FF8B857A"/>
        <rFont val="Noto Sans CJK SC"/>
        <family val="2"/>
      </rPr>
      <t xml:space="preserve">。</t>
    </r>
    <r>
      <rPr>
        <sz val="10"/>
        <color rgb="FF8B857A"/>
        <rFont val="Arial"/>
        <family val="0"/>
        <charset val="1"/>
      </rPr>
      <t xml:space="preserve">ToB</t>
    </r>
    <r>
      <rPr>
        <sz val="10"/>
        <color rgb="FF8B857A"/>
        <rFont val="Noto Sans CJK SC"/>
        <family val="2"/>
      </rPr>
      <t xml:space="preserve">粗利＝リース売上＋ジェル粗利＋初期費用−機械原価。固定費控除前。解約なし仮定。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</si>
</sst>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¥#,##0"/>
    <numFmt numFmtId="166" formatCode="0.0%"/>
    <numFmt numFmtId="167" formatCode="#,##0"/>
    <numFmt numFmtId="168" formatCode="#,##0.0"/>
    <numFmt numFmtId="169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130E"/>
      <name val="Arial"/>
      <family val="0"/>
      <charset val="1"/>
    </font>
    <font>
      <b val="true"/>
      <sz val="14"/>
      <color rgb="FF16130E"/>
      <name val="Noto Sans CJK SC"/>
      <family val="2"/>
    </font>
    <font>
      <sz val="10"/>
      <color rgb="FF8B857A"/>
      <name val="Noto Sans CJK SC"/>
      <family val="2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color rgb="FF8B857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5F2EA"/>
      </patternFill>
    </fill>
    <fill>
      <patternFill patternType="solid">
        <fgColor rgb="FF16130E"/>
        <bgColor rgb="FF000000"/>
      </patternFill>
    </fill>
    <fill>
      <patternFill patternType="solid">
        <fgColor rgb="FFF5F2EA"/>
        <bgColor rgb="FFFFF2CC"/>
      </patternFill>
    </fill>
    <fill>
      <patternFill patternType="solid">
        <fgColor rgb="FFC9A768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7"/>
      <rgbColor rgb="FF8B857A"/>
      <rgbColor rgb="FF9999FF"/>
      <rgbColor rgb="FF993366"/>
      <rgbColor rgb="FFFFF2CC"/>
      <rgbColor rgb="FFF5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768"/>
      <rgbColor rgb="FF003366"/>
      <rgbColor rgb="FF339966"/>
      <rgbColor rgb="FF16130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1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4800</v>
      </c>
      <c r="C5" s="6" t="s">
        <v>4</v>
      </c>
    </row>
    <row r="6" customFormat="false" ht="17.15" hidden="false" customHeight="false" outlineLevel="0" collapsed="false">
      <c r="A6" s="4" t="s">
        <v>5</v>
      </c>
      <c r="B6" s="7" t="n">
        <f aca="false">B5*1.1</f>
        <v>5280</v>
      </c>
      <c r="C6" s="6" t="s">
        <v>6</v>
      </c>
    </row>
    <row r="7" customFormat="false" ht="17.15" hidden="false" customHeight="false" outlineLevel="0" collapsed="false">
      <c r="A7" s="8" t="s">
        <v>7</v>
      </c>
      <c r="B7" s="5" t="n">
        <v>1800</v>
      </c>
    </row>
    <row r="8" customFormat="false" ht="17.15" hidden="false" customHeight="false" outlineLevel="0" collapsed="false">
      <c r="A8" s="8" t="s">
        <v>8</v>
      </c>
      <c r="B8" s="5" t="n">
        <v>2100</v>
      </c>
    </row>
    <row r="9" customFormat="false" ht="15" hidden="false" customHeight="false" outlineLevel="0" collapsed="false">
      <c r="A9" s="4" t="s">
        <v>9</v>
      </c>
      <c r="B9" s="7" t="n">
        <f aca="false">B7</f>
        <v>1800</v>
      </c>
    </row>
    <row r="10" customFormat="false" ht="15" hidden="false" customHeight="false" outlineLevel="0" collapsed="false">
      <c r="A10" s="4" t="s">
        <v>10</v>
      </c>
      <c r="B10" s="7" t="n">
        <f aca="false">B5-B9</f>
        <v>3000</v>
      </c>
    </row>
    <row r="11" customFormat="false" ht="15" hidden="false" customHeight="false" outlineLevel="0" collapsed="false">
      <c r="A11" s="4" t="s">
        <v>11</v>
      </c>
      <c r="B11" s="9" t="n">
        <f aca="false">B10/B5</f>
        <v>0.625</v>
      </c>
    </row>
    <row r="13" customFormat="false" ht="15" hidden="false" customHeight="false" outlineLevel="0" collapsed="false">
      <c r="A13" s="3" t="s">
        <v>12</v>
      </c>
    </row>
    <row r="14" customFormat="false" ht="17.15" hidden="false" customHeight="false" outlineLevel="0" collapsed="false">
      <c r="A14" s="8" t="s">
        <v>13</v>
      </c>
      <c r="B14" s="10" t="n">
        <v>750</v>
      </c>
      <c r="C14" s="11" t="s">
        <v>14</v>
      </c>
    </row>
    <row r="15" customFormat="false" ht="17.15" hidden="false" customHeight="false" outlineLevel="0" collapsed="false">
      <c r="A15" s="8" t="s">
        <v>15</v>
      </c>
      <c r="B15" s="10" t="n">
        <v>30</v>
      </c>
      <c r="C15" s="11" t="s">
        <v>16</v>
      </c>
    </row>
    <row r="16" customFormat="false" ht="17.15" hidden="false" customHeight="false" outlineLevel="0" collapsed="false">
      <c r="A16" s="8" t="s">
        <v>17</v>
      </c>
      <c r="B16" s="12" t="n">
        <f aca="false">B14/B15</f>
        <v>25</v>
      </c>
      <c r="C16" s="6" t="s">
        <v>18</v>
      </c>
    </row>
    <row r="18" customFormat="false" ht="17.15" hidden="false" customHeight="false" outlineLevel="0" collapsed="false">
      <c r="A18" s="3" t="s">
        <v>19</v>
      </c>
    </row>
    <row r="19" customFormat="false" ht="15" hidden="false" customHeight="false" outlineLevel="0" collapsed="false">
      <c r="A19" s="4" t="s">
        <v>20</v>
      </c>
      <c r="B19" s="5" t="n">
        <v>330000</v>
      </c>
      <c r="C19" s="6" t="s">
        <v>21</v>
      </c>
    </row>
    <row r="20" customFormat="false" ht="15" hidden="false" customHeight="false" outlineLevel="0" collapsed="false">
      <c r="A20" s="4" t="s">
        <v>22</v>
      </c>
      <c r="B20" s="5" t="n">
        <v>55000</v>
      </c>
      <c r="C20" s="11" t="s">
        <v>23</v>
      </c>
    </row>
    <row r="21" customFormat="false" ht="15" hidden="false" customHeight="false" outlineLevel="0" collapsed="false">
      <c r="A21" s="4" t="s">
        <v>24</v>
      </c>
      <c r="B21" s="10" t="n">
        <v>1</v>
      </c>
      <c r="C21" s="6" t="s">
        <v>25</v>
      </c>
    </row>
    <row r="22" customFormat="false" ht="17.15" hidden="false" customHeight="false" outlineLevel="0" collapsed="false">
      <c r="A22" s="4" t="s">
        <v>26</v>
      </c>
      <c r="B22" s="10" t="n">
        <v>1</v>
      </c>
      <c r="C22" s="6" t="s">
        <v>27</v>
      </c>
    </row>
    <row r="23" customFormat="false" ht="15" hidden="false" customHeight="false" outlineLevel="0" collapsed="false">
      <c r="A23" s="4" t="s">
        <v>28</v>
      </c>
      <c r="B23" s="5" t="n">
        <v>0</v>
      </c>
      <c r="C23" s="6" t="s">
        <v>29</v>
      </c>
    </row>
    <row r="25" customFormat="false" ht="17.15" hidden="false" customHeight="false" outlineLevel="0" collapsed="false">
      <c r="A25" s="3" t="s">
        <v>30</v>
      </c>
    </row>
    <row r="26" customFormat="false" ht="17.15" hidden="false" customHeight="false" outlineLevel="0" collapsed="false">
      <c r="A26" s="4" t="s">
        <v>31</v>
      </c>
      <c r="B26" s="13" t="n">
        <v>88</v>
      </c>
      <c r="C26" s="6" t="s">
        <v>32</v>
      </c>
    </row>
    <row r="27" customFormat="false" ht="17.15" hidden="false" customHeight="false" outlineLevel="0" collapsed="false">
      <c r="A27" s="8" t="s">
        <v>33</v>
      </c>
      <c r="B27" s="10" t="n">
        <v>240</v>
      </c>
    </row>
    <row r="28" customFormat="false" ht="17.15" hidden="false" customHeight="false" outlineLevel="0" collapsed="false">
      <c r="A28" s="8" t="s">
        <v>34</v>
      </c>
      <c r="B28" s="10" t="n">
        <v>360</v>
      </c>
    </row>
    <row r="29" customFormat="false" ht="17.15" hidden="false" customHeight="false" outlineLevel="0" collapsed="false">
      <c r="A29" s="8" t="s">
        <v>35</v>
      </c>
      <c r="B29" s="10" t="n">
        <v>400</v>
      </c>
      <c r="C29" s="11" t="s">
        <v>36</v>
      </c>
    </row>
    <row r="30" customFormat="false" ht="17.15" hidden="false" customHeight="false" outlineLevel="0" collapsed="false">
      <c r="A30" s="8" t="s">
        <v>37</v>
      </c>
      <c r="B30" s="14" t="n">
        <f aca="false">B27+B28+B29</f>
        <v>1000</v>
      </c>
    </row>
    <row r="33" customFormat="false" ht="17.15" hidden="false" customHeight="false" outlineLevel="0" collapsed="false">
      <c r="A33" s="3" t="s">
        <v>38</v>
      </c>
    </row>
    <row r="34" customFormat="false" ht="17.15" hidden="false" customHeight="false" outlineLevel="0" collapsed="false">
      <c r="A34" s="15" t="s">
        <v>39</v>
      </c>
      <c r="B34" s="15" t="s">
        <v>40</v>
      </c>
      <c r="C34" s="15" t="s">
        <v>41</v>
      </c>
      <c r="D34" s="15" t="s">
        <v>42</v>
      </c>
      <c r="E34" s="15" t="s">
        <v>43</v>
      </c>
      <c r="F34" s="15" t="s">
        <v>44</v>
      </c>
      <c r="G34" s="15" t="s">
        <v>45</v>
      </c>
    </row>
    <row r="35" customFormat="false" ht="15" hidden="false" customHeight="false" outlineLevel="0" collapsed="false">
      <c r="A35" s="16" t="s">
        <v>46</v>
      </c>
      <c r="B35" s="17" t="n">
        <v>2</v>
      </c>
      <c r="C35" s="17" t="n">
        <v>22</v>
      </c>
      <c r="D35" s="18" t="n">
        <f aca="false">B35*C35</f>
        <v>44</v>
      </c>
      <c r="E35" s="19" t="n">
        <f aca="false">D35*$B$15/$B$14</f>
        <v>1.76</v>
      </c>
      <c r="F35" s="20" t="n">
        <f aca="false">E35*$B$5</f>
        <v>8448</v>
      </c>
      <c r="G35" s="20" t="n">
        <f aca="false">E35*$B$10</f>
        <v>5280</v>
      </c>
    </row>
    <row r="36" customFormat="false" ht="15" hidden="false" customHeight="false" outlineLevel="0" collapsed="false">
      <c r="A36" s="16" t="s">
        <v>47</v>
      </c>
      <c r="B36" s="17" t="n">
        <v>4</v>
      </c>
      <c r="C36" s="17" t="n">
        <v>22</v>
      </c>
      <c r="D36" s="18" t="n">
        <f aca="false">B36*C36</f>
        <v>88</v>
      </c>
      <c r="E36" s="19" t="n">
        <f aca="false">D36*$B$15/$B$14</f>
        <v>3.52</v>
      </c>
      <c r="F36" s="20" t="n">
        <f aca="false">E36*$B$5</f>
        <v>16896</v>
      </c>
      <c r="G36" s="20" t="n">
        <f aca="false">E36*$B$10</f>
        <v>10560</v>
      </c>
    </row>
    <row r="37" customFormat="false" ht="15" hidden="false" customHeight="false" outlineLevel="0" collapsed="false">
      <c r="A37" s="16" t="s">
        <v>48</v>
      </c>
      <c r="B37" s="17" t="n">
        <v>8</v>
      </c>
      <c r="C37" s="17" t="n">
        <v>25</v>
      </c>
      <c r="D37" s="18" t="n">
        <f aca="false">B37*C37</f>
        <v>200</v>
      </c>
      <c r="E37" s="19" t="n">
        <f aca="false">D37*$B$15/$B$14</f>
        <v>8</v>
      </c>
      <c r="F37" s="20" t="n">
        <f aca="false">E37*$B$5</f>
        <v>38400</v>
      </c>
      <c r="G37" s="20" t="n">
        <f aca="false">E37*$B$10</f>
        <v>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8" min="3" style="0" width="16"/>
    <col collapsed="false" customWidth="true" hidden="false" outlineLevel="0" max="9" min="9" style="0" width="18"/>
  </cols>
  <sheetData>
    <row r="1" customFormat="false" ht="21.6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13" t="n">
        <v>1000</v>
      </c>
    </row>
    <row r="6" customFormat="false" ht="17.15" hidden="false" customHeight="false" outlineLevel="0" collapsed="false">
      <c r="A6" s="15" t="s">
        <v>39</v>
      </c>
      <c r="B6" s="15" t="s">
        <v>52</v>
      </c>
      <c r="C6" s="15" t="s">
        <v>53</v>
      </c>
      <c r="D6" s="15" t="s">
        <v>44</v>
      </c>
      <c r="E6" s="15" t="s">
        <v>45</v>
      </c>
      <c r="F6" s="15" t="s">
        <v>54</v>
      </c>
      <c r="G6" s="15" t="s">
        <v>55</v>
      </c>
      <c r="H6" s="15" t="s">
        <v>56</v>
      </c>
      <c r="I6" s="15" t="s">
        <v>57</v>
      </c>
    </row>
    <row r="7" customFormat="false" ht="15" hidden="false" customHeight="false" outlineLevel="0" collapsed="false">
      <c r="A7" s="16" t="s">
        <v>46</v>
      </c>
      <c r="B7" s="18" t="n">
        <f aca="false">$B$4</f>
        <v>1000</v>
      </c>
      <c r="C7" s="18" t="n">
        <f aca="false">$B$4*前提!E35</f>
        <v>1760</v>
      </c>
      <c r="D7" s="20" t="n">
        <f aca="false">$B$4*前提!F35</f>
        <v>8448000</v>
      </c>
      <c r="E7" s="20" t="n">
        <f aca="false">$B$4*前提!G35</f>
        <v>5280000</v>
      </c>
      <c r="F7" s="20" t="n">
        <f aca="false">$B$4*前提!$B$20</f>
        <v>55000000</v>
      </c>
      <c r="G7" s="20" t="n">
        <f aca="false">D7+F7</f>
        <v>63448000</v>
      </c>
      <c r="H7" s="20" t="n">
        <f aca="false">E7+F7-$B$4*前提!$B$23</f>
        <v>60280000</v>
      </c>
      <c r="I7" s="20" t="n">
        <f aca="false">H7*12</f>
        <v>723360000</v>
      </c>
    </row>
    <row r="8" customFormat="false" ht="15" hidden="false" customHeight="false" outlineLevel="0" collapsed="false">
      <c r="A8" s="21" t="s">
        <v>58</v>
      </c>
      <c r="B8" s="22" t="n">
        <f aca="false">$B$4</f>
        <v>1000</v>
      </c>
      <c r="C8" s="22" t="n">
        <f aca="false">$B$4*前提!E36</f>
        <v>3520</v>
      </c>
      <c r="D8" s="23" t="n">
        <f aca="false">$B$4*前提!F36</f>
        <v>16896000</v>
      </c>
      <c r="E8" s="23" t="n">
        <f aca="false">$B$4*前提!G36</f>
        <v>10560000</v>
      </c>
      <c r="F8" s="23" t="n">
        <f aca="false">$B$4*前提!$B$20</f>
        <v>55000000</v>
      </c>
      <c r="G8" s="23" t="n">
        <f aca="false">D8+F8</f>
        <v>71896000</v>
      </c>
      <c r="H8" s="23" t="n">
        <f aca="false">E8+F8-$B$4*前提!$B$23</f>
        <v>65560000</v>
      </c>
      <c r="I8" s="23" t="n">
        <f aca="false">H8*12</f>
        <v>786720000</v>
      </c>
    </row>
    <row r="9" customFormat="false" ht="15" hidden="false" customHeight="false" outlineLevel="0" collapsed="false">
      <c r="A9" s="16" t="s">
        <v>48</v>
      </c>
      <c r="B9" s="18" t="n">
        <f aca="false">$B$4</f>
        <v>1000</v>
      </c>
      <c r="C9" s="18" t="n">
        <f aca="false">$B$4*前提!E37</f>
        <v>8000</v>
      </c>
      <c r="D9" s="20" t="n">
        <f aca="false">$B$4*前提!F37</f>
        <v>38400000</v>
      </c>
      <c r="E9" s="20" t="n">
        <f aca="false">$B$4*前提!G37</f>
        <v>24000000</v>
      </c>
      <c r="F9" s="20" t="n">
        <f aca="false">$B$4*前提!$B$20</f>
        <v>55000000</v>
      </c>
      <c r="G9" s="20" t="n">
        <f aca="false">D9+F9</f>
        <v>93400000</v>
      </c>
      <c r="H9" s="20" t="n">
        <f aca="false">E9+F9-$B$4*前提!$B$23</f>
        <v>79000000</v>
      </c>
      <c r="I9" s="20" t="n">
        <f aca="false">H9*12</f>
        <v>948000000</v>
      </c>
    </row>
    <row r="11" customFormat="false" ht="15" hidden="false" customHeight="false" outlineLevel="0" collapsed="false">
      <c r="A11" s="2" t="s">
        <v>59</v>
      </c>
    </row>
    <row r="12" customFormat="false" ht="15" hidden="false" customHeight="false" outlineLevel="0" collapsed="false">
      <c r="A12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4" min="3" style="0" width="10"/>
    <col collapsed="false" customWidth="true" hidden="false" outlineLevel="0" max="7" min="5" style="0" width="14"/>
    <col collapsed="false" customWidth="true" hidden="false" outlineLevel="0" max="9" min="8" style="0" width="12"/>
    <col collapsed="false" customWidth="true" hidden="false" outlineLevel="0" max="13" min="10" style="0" width="14"/>
  </cols>
  <sheetData>
    <row r="1" customFormat="false" ht="21.6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7.15" hidden="false" customHeight="false" outlineLevel="0" collapsed="false">
      <c r="A4" s="15" t="s">
        <v>63</v>
      </c>
      <c r="B4" s="15" t="s">
        <v>64</v>
      </c>
      <c r="C4" s="15" t="s">
        <v>65</v>
      </c>
      <c r="D4" s="15" t="s">
        <v>66</v>
      </c>
      <c r="E4" s="15" t="s">
        <v>67</v>
      </c>
      <c r="F4" s="15" t="s">
        <v>68</v>
      </c>
      <c r="G4" s="15" t="s">
        <v>69</v>
      </c>
      <c r="H4" s="24" t="s">
        <v>70</v>
      </c>
      <c r="I4" s="24" t="s">
        <v>71</v>
      </c>
    </row>
    <row r="5" customFormat="false" ht="17.15" hidden="false" customHeight="false" outlineLevel="0" collapsed="false">
      <c r="A5" s="25" t="s">
        <v>72</v>
      </c>
      <c r="B5" s="18" t="n">
        <f aca="false">D22</f>
        <v>240</v>
      </c>
      <c r="C5" s="18" t="n">
        <f aca="false">E22</f>
        <v>240</v>
      </c>
      <c r="D5" s="20" t="n">
        <f aca="false">SUM(F11:F22)</f>
        <v>79200000</v>
      </c>
      <c r="E5" s="20" t="n">
        <f aca="false">SUM(G11:G22)</f>
        <v>85800000</v>
      </c>
      <c r="F5" s="20" t="n">
        <f aca="false">SUM(J11:J22)</f>
        <v>26357760</v>
      </c>
      <c r="G5" s="20" t="n">
        <f aca="false">SUM(K11:K22)</f>
        <v>16041600</v>
      </c>
      <c r="H5" s="20" t="n">
        <f aca="false">SUM(L11:L22)</f>
        <v>191357760</v>
      </c>
      <c r="I5" s="20" t="n">
        <f aca="false">SUM(M11:M22)</f>
        <v>181041600</v>
      </c>
    </row>
    <row r="6" customFormat="false" ht="17.15" hidden="false" customHeight="false" outlineLevel="0" collapsed="false">
      <c r="A6" s="25" t="s">
        <v>73</v>
      </c>
      <c r="B6" s="18" t="n">
        <f aca="false">D34</f>
        <v>600</v>
      </c>
      <c r="C6" s="18" t="n">
        <f aca="false">E34</f>
        <v>600</v>
      </c>
      <c r="D6" s="20" t="n">
        <f aca="false">SUM(F23:F34)</f>
        <v>118800000</v>
      </c>
      <c r="E6" s="20" t="n">
        <f aca="false">SUM(G23:G34)</f>
        <v>287100000</v>
      </c>
      <c r="F6" s="20" t="n">
        <f aca="false">SUM(J23:J34)</f>
        <v>88197120</v>
      </c>
      <c r="G6" s="20" t="n">
        <f aca="false">SUM(K23:K34)</f>
        <v>54475200</v>
      </c>
      <c r="H6" s="20" t="n">
        <f aca="false">SUM(L23:L34)</f>
        <v>494097120</v>
      </c>
      <c r="I6" s="20" t="n">
        <f aca="false">SUM(M23:M34)</f>
        <v>460375200</v>
      </c>
    </row>
    <row r="7" customFormat="false" ht="17.15" hidden="false" customHeight="false" outlineLevel="0" collapsed="false">
      <c r="A7" s="25" t="s">
        <v>74</v>
      </c>
      <c r="B7" s="18" t="n">
        <f aca="false">D46</f>
        <v>1000</v>
      </c>
      <c r="C7" s="18" t="n">
        <f aca="false">E46</f>
        <v>1000</v>
      </c>
      <c r="D7" s="20" t="n">
        <f aca="false">SUM(F35:F46)</f>
        <v>132000000</v>
      </c>
      <c r="E7" s="20" t="n">
        <f aca="false">SUM(G35:G46)</f>
        <v>539000000</v>
      </c>
      <c r="F7" s="20" t="n">
        <f aca="false">SUM(J35:J46)</f>
        <v>165580800</v>
      </c>
      <c r="G7" s="20" t="n">
        <f aca="false">SUM(K35:K46)</f>
        <v>102768000</v>
      </c>
      <c r="H7" s="20" t="n">
        <f aca="false">SUM(L35:L46)</f>
        <v>836580800</v>
      </c>
      <c r="I7" s="20" t="n">
        <f aca="false">SUM(M35:M46)</f>
        <v>773768000</v>
      </c>
    </row>
    <row r="10" customFormat="false" ht="17.15" hidden="false" customHeight="false" outlineLevel="0" collapsed="false">
      <c r="A10" s="15" t="s">
        <v>75</v>
      </c>
      <c r="B10" s="15" t="s">
        <v>63</v>
      </c>
      <c r="C10" s="15" t="s">
        <v>76</v>
      </c>
      <c r="D10" s="15" t="s">
        <v>77</v>
      </c>
      <c r="E10" s="15" t="s">
        <v>78</v>
      </c>
      <c r="F10" s="15" t="s">
        <v>66</v>
      </c>
      <c r="G10" s="15" t="s">
        <v>67</v>
      </c>
      <c r="H10" s="15" t="s">
        <v>79</v>
      </c>
      <c r="I10" s="15" t="s">
        <v>80</v>
      </c>
      <c r="J10" s="15" t="s">
        <v>68</v>
      </c>
      <c r="K10" s="15" t="s">
        <v>81</v>
      </c>
      <c r="L10" s="24" t="s">
        <v>82</v>
      </c>
      <c r="M10" s="24" t="s">
        <v>83</v>
      </c>
    </row>
    <row r="11" customFormat="false" ht="15" hidden="false" customHeight="false" outlineLevel="0" collapsed="false">
      <c r="A11" s="26" t="n">
        <v>1</v>
      </c>
      <c r="B11" s="26" t="n">
        <f aca="false">IF(A11&lt;=12,1,IF(A11&lt;=24,2,3))</f>
        <v>1</v>
      </c>
      <c r="C11" s="27" t="n">
        <f aca="false">IF(B11=1,前提!$B$27/12,IF(B11=2,前提!$B$28/12,前提!$B$29/12))</f>
        <v>20</v>
      </c>
      <c r="D11" s="27" t="n">
        <f aca="false">C11</f>
        <v>20</v>
      </c>
      <c r="E11" s="27" t="n">
        <f aca="false">D11</f>
        <v>20</v>
      </c>
      <c r="F11" s="20" t="n">
        <f aca="false">C11*前提!$B$19</f>
        <v>6600000</v>
      </c>
      <c r="G11" s="20" t="n">
        <f aca="false">E11*前提!$B$20</f>
        <v>1100000</v>
      </c>
      <c r="H11" s="18" t="n">
        <f aca="false">D11*前提!$B$26</f>
        <v>1760</v>
      </c>
      <c r="I11" s="19" t="n">
        <f aca="false">H11*前提!$B$15/前提!$B$14</f>
        <v>70.4</v>
      </c>
      <c r="J11" s="20" t="n">
        <f aca="false">I11*前提!$B$5</f>
        <v>337920</v>
      </c>
      <c r="K11" s="20" t="n">
        <f aca="false">I11*前提!$B$10-C11*前提!$B$22*前提!$B$7</f>
        <v>175200</v>
      </c>
      <c r="L11" s="20" t="n">
        <f aca="false">F11+G11+J11</f>
        <v>8037920</v>
      </c>
      <c r="M11" s="20" t="n">
        <f aca="false">G11+K11+F11-C11*前提!$B$23</f>
        <v>7875200</v>
      </c>
    </row>
    <row r="12" customFormat="false" ht="15" hidden="false" customHeight="false" outlineLevel="0" collapsed="false">
      <c r="A12" s="26" t="n">
        <v>2</v>
      </c>
      <c r="B12" s="26" t="n">
        <f aca="false">IF(A12&lt;=12,1,IF(A12&lt;=24,2,3))</f>
        <v>1</v>
      </c>
      <c r="C12" s="27" t="n">
        <f aca="false">IF(B12=1,前提!$B$27/12,IF(B12=2,前提!$B$28/12,前提!$B$29/12))</f>
        <v>20</v>
      </c>
      <c r="D12" s="27" t="n">
        <f aca="false">D11+C12</f>
        <v>40</v>
      </c>
      <c r="E12" s="27" t="n">
        <f aca="false">D12</f>
        <v>40</v>
      </c>
      <c r="F12" s="20" t="n">
        <f aca="false">C12*前提!$B$19</f>
        <v>6600000</v>
      </c>
      <c r="G12" s="20" t="n">
        <f aca="false">E12*前提!$B$20</f>
        <v>2200000</v>
      </c>
      <c r="H12" s="18" t="n">
        <f aca="false">D12*前提!$B$26</f>
        <v>3520</v>
      </c>
      <c r="I12" s="19" t="n">
        <f aca="false">H12*前提!$B$15/前提!$B$14</f>
        <v>140.8</v>
      </c>
      <c r="J12" s="20" t="n">
        <f aca="false">I12*前提!$B$5</f>
        <v>675840</v>
      </c>
      <c r="K12" s="20" t="n">
        <f aca="false">I12*前提!$B$10-C12*前提!$B$22*前提!$B$7</f>
        <v>386400</v>
      </c>
      <c r="L12" s="20" t="n">
        <f aca="false">F12+G12+J12</f>
        <v>9475840</v>
      </c>
      <c r="M12" s="20" t="n">
        <f aca="false">G12+K12+F12-C12*前提!$B$23</f>
        <v>9186400</v>
      </c>
    </row>
    <row r="13" customFormat="false" ht="15" hidden="false" customHeight="false" outlineLevel="0" collapsed="false">
      <c r="A13" s="26" t="n">
        <v>3</v>
      </c>
      <c r="B13" s="26" t="n">
        <f aca="false">IF(A13&lt;=12,1,IF(A13&lt;=24,2,3))</f>
        <v>1</v>
      </c>
      <c r="C13" s="27" t="n">
        <f aca="false">IF(B13=1,前提!$B$27/12,IF(B13=2,前提!$B$28/12,前提!$B$29/12))</f>
        <v>20</v>
      </c>
      <c r="D13" s="27" t="n">
        <f aca="false">D12+C13</f>
        <v>60</v>
      </c>
      <c r="E13" s="27" t="n">
        <f aca="false">D13</f>
        <v>60</v>
      </c>
      <c r="F13" s="20" t="n">
        <f aca="false">C13*前提!$B$19</f>
        <v>6600000</v>
      </c>
      <c r="G13" s="20" t="n">
        <f aca="false">E13*前提!$B$20</f>
        <v>3300000</v>
      </c>
      <c r="H13" s="18" t="n">
        <f aca="false">D13*前提!$B$26</f>
        <v>5280</v>
      </c>
      <c r="I13" s="19" t="n">
        <f aca="false">H13*前提!$B$15/前提!$B$14</f>
        <v>211.2</v>
      </c>
      <c r="J13" s="20" t="n">
        <f aca="false">I13*前提!$B$5</f>
        <v>1013760</v>
      </c>
      <c r="K13" s="20" t="n">
        <f aca="false">I13*前提!$B$10-C13*前提!$B$22*前提!$B$7</f>
        <v>597600</v>
      </c>
      <c r="L13" s="20" t="n">
        <f aca="false">F13+G13+J13</f>
        <v>10913760</v>
      </c>
      <c r="M13" s="20" t="n">
        <f aca="false">G13+K13+F13-C13*前提!$B$23</f>
        <v>10497600</v>
      </c>
    </row>
    <row r="14" customFormat="false" ht="15" hidden="false" customHeight="false" outlineLevel="0" collapsed="false">
      <c r="A14" s="26" t="n">
        <v>4</v>
      </c>
      <c r="B14" s="26" t="n">
        <f aca="false">IF(A14&lt;=12,1,IF(A14&lt;=24,2,3))</f>
        <v>1</v>
      </c>
      <c r="C14" s="27" t="n">
        <f aca="false">IF(B14=1,前提!$B$27/12,IF(B14=2,前提!$B$28/12,前提!$B$29/12))</f>
        <v>20</v>
      </c>
      <c r="D14" s="27" t="n">
        <f aca="false">D13+C14</f>
        <v>80</v>
      </c>
      <c r="E14" s="27" t="n">
        <f aca="false">D14</f>
        <v>80</v>
      </c>
      <c r="F14" s="20" t="n">
        <f aca="false">C14*前提!$B$19</f>
        <v>6600000</v>
      </c>
      <c r="G14" s="20" t="n">
        <f aca="false">E14*前提!$B$20</f>
        <v>4400000</v>
      </c>
      <c r="H14" s="18" t="n">
        <f aca="false">D14*前提!$B$26</f>
        <v>7040</v>
      </c>
      <c r="I14" s="19" t="n">
        <f aca="false">H14*前提!$B$15/前提!$B$14</f>
        <v>281.6</v>
      </c>
      <c r="J14" s="20" t="n">
        <f aca="false">I14*前提!$B$5</f>
        <v>1351680</v>
      </c>
      <c r="K14" s="20" t="n">
        <f aca="false">I14*前提!$B$10-C14*前提!$B$22*前提!$B$7</f>
        <v>808800</v>
      </c>
      <c r="L14" s="20" t="n">
        <f aca="false">F14+G14+J14</f>
        <v>12351680</v>
      </c>
      <c r="M14" s="20" t="n">
        <f aca="false">G14+K14+F14-C14*前提!$B$23</f>
        <v>11808800</v>
      </c>
    </row>
    <row r="15" customFormat="false" ht="15" hidden="false" customHeight="false" outlineLevel="0" collapsed="false">
      <c r="A15" s="26" t="n">
        <v>5</v>
      </c>
      <c r="B15" s="26" t="n">
        <f aca="false">IF(A15&lt;=12,1,IF(A15&lt;=24,2,3))</f>
        <v>1</v>
      </c>
      <c r="C15" s="27" t="n">
        <f aca="false">IF(B15=1,前提!$B$27/12,IF(B15=2,前提!$B$28/12,前提!$B$29/12))</f>
        <v>20</v>
      </c>
      <c r="D15" s="27" t="n">
        <f aca="false">D14+C15</f>
        <v>100</v>
      </c>
      <c r="E15" s="27" t="n">
        <f aca="false">D15</f>
        <v>100</v>
      </c>
      <c r="F15" s="20" t="n">
        <f aca="false">C15*前提!$B$19</f>
        <v>6600000</v>
      </c>
      <c r="G15" s="20" t="n">
        <f aca="false">E15*前提!$B$20</f>
        <v>5500000</v>
      </c>
      <c r="H15" s="18" t="n">
        <f aca="false">D15*前提!$B$26</f>
        <v>8800</v>
      </c>
      <c r="I15" s="19" t="n">
        <f aca="false">H15*前提!$B$15/前提!$B$14</f>
        <v>352</v>
      </c>
      <c r="J15" s="20" t="n">
        <f aca="false">I15*前提!$B$5</f>
        <v>1689600</v>
      </c>
      <c r="K15" s="20" t="n">
        <f aca="false">I15*前提!$B$10-C15*前提!$B$22*前提!$B$7</f>
        <v>1020000</v>
      </c>
      <c r="L15" s="20" t="n">
        <f aca="false">F15+G15+J15</f>
        <v>13789600</v>
      </c>
      <c r="M15" s="20" t="n">
        <f aca="false">G15+K15+F15-C15*前提!$B$23</f>
        <v>13120000</v>
      </c>
    </row>
    <row r="16" customFormat="false" ht="15" hidden="false" customHeight="false" outlineLevel="0" collapsed="false">
      <c r="A16" s="26" t="n">
        <v>6</v>
      </c>
      <c r="B16" s="26" t="n">
        <f aca="false">IF(A16&lt;=12,1,IF(A16&lt;=24,2,3))</f>
        <v>1</v>
      </c>
      <c r="C16" s="27" t="n">
        <f aca="false">IF(B16=1,前提!$B$27/12,IF(B16=2,前提!$B$28/12,前提!$B$29/12))</f>
        <v>20</v>
      </c>
      <c r="D16" s="27" t="n">
        <f aca="false">D15+C16</f>
        <v>120</v>
      </c>
      <c r="E16" s="27" t="n">
        <f aca="false">D16</f>
        <v>120</v>
      </c>
      <c r="F16" s="20" t="n">
        <f aca="false">C16*前提!$B$19</f>
        <v>6600000</v>
      </c>
      <c r="G16" s="20" t="n">
        <f aca="false">E16*前提!$B$20</f>
        <v>6600000</v>
      </c>
      <c r="H16" s="18" t="n">
        <f aca="false">D16*前提!$B$26</f>
        <v>10560</v>
      </c>
      <c r="I16" s="19" t="n">
        <f aca="false">H16*前提!$B$15/前提!$B$14</f>
        <v>422.4</v>
      </c>
      <c r="J16" s="20" t="n">
        <f aca="false">I16*前提!$B$5</f>
        <v>2027520</v>
      </c>
      <c r="K16" s="20" t="n">
        <f aca="false">I16*前提!$B$10-C16*前提!$B$22*前提!$B$7</f>
        <v>1231200</v>
      </c>
      <c r="L16" s="20" t="n">
        <f aca="false">F16+G16+J16</f>
        <v>15227520</v>
      </c>
      <c r="M16" s="20" t="n">
        <f aca="false">G16+K16+F16-C16*前提!$B$23</f>
        <v>14431200</v>
      </c>
    </row>
    <row r="17" customFormat="false" ht="15" hidden="false" customHeight="false" outlineLevel="0" collapsed="false">
      <c r="A17" s="26" t="n">
        <v>7</v>
      </c>
      <c r="B17" s="26" t="n">
        <f aca="false">IF(A17&lt;=12,1,IF(A17&lt;=24,2,3))</f>
        <v>1</v>
      </c>
      <c r="C17" s="27" t="n">
        <f aca="false">IF(B17=1,前提!$B$27/12,IF(B17=2,前提!$B$28/12,前提!$B$29/12))</f>
        <v>20</v>
      </c>
      <c r="D17" s="27" t="n">
        <f aca="false">D16+C17</f>
        <v>140</v>
      </c>
      <c r="E17" s="27" t="n">
        <f aca="false">D17</f>
        <v>140</v>
      </c>
      <c r="F17" s="20" t="n">
        <f aca="false">C17*前提!$B$19</f>
        <v>6600000</v>
      </c>
      <c r="G17" s="20" t="n">
        <f aca="false">E17*前提!$B$20</f>
        <v>7700000</v>
      </c>
      <c r="H17" s="18" t="n">
        <f aca="false">D17*前提!$B$26</f>
        <v>12320</v>
      </c>
      <c r="I17" s="19" t="n">
        <f aca="false">H17*前提!$B$15/前提!$B$14</f>
        <v>492.8</v>
      </c>
      <c r="J17" s="20" t="n">
        <f aca="false">I17*前提!$B$5</f>
        <v>2365440</v>
      </c>
      <c r="K17" s="20" t="n">
        <f aca="false">I17*前提!$B$10-C17*前提!$B$22*前提!$B$7</f>
        <v>1442400</v>
      </c>
      <c r="L17" s="20" t="n">
        <f aca="false">F17+G17+J17</f>
        <v>16665440</v>
      </c>
      <c r="M17" s="20" t="n">
        <f aca="false">G17+K17+F17-C17*前提!$B$23</f>
        <v>15742400</v>
      </c>
    </row>
    <row r="18" customFormat="false" ht="15" hidden="false" customHeight="false" outlineLevel="0" collapsed="false">
      <c r="A18" s="26" t="n">
        <v>8</v>
      </c>
      <c r="B18" s="26" t="n">
        <f aca="false">IF(A18&lt;=12,1,IF(A18&lt;=24,2,3))</f>
        <v>1</v>
      </c>
      <c r="C18" s="27" t="n">
        <f aca="false">IF(B18=1,前提!$B$27/12,IF(B18=2,前提!$B$28/12,前提!$B$29/12))</f>
        <v>20</v>
      </c>
      <c r="D18" s="27" t="n">
        <f aca="false">D17+C18</f>
        <v>160</v>
      </c>
      <c r="E18" s="27" t="n">
        <f aca="false">D18</f>
        <v>160</v>
      </c>
      <c r="F18" s="20" t="n">
        <f aca="false">C18*前提!$B$19</f>
        <v>6600000</v>
      </c>
      <c r="G18" s="20" t="n">
        <f aca="false">E18*前提!$B$20</f>
        <v>8800000</v>
      </c>
      <c r="H18" s="18" t="n">
        <f aca="false">D18*前提!$B$26</f>
        <v>14080</v>
      </c>
      <c r="I18" s="19" t="n">
        <f aca="false">H18*前提!$B$15/前提!$B$14</f>
        <v>563.2</v>
      </c>
      <c r="J18" s="20" t="n">
        <f aca="false">I18*前提!$B$5</f>
        <v>2703360</v>
      </c>
      <c r="K18" s="20" t="n">
        <f aca="false">I18*前提!$B$10-C18*前提!$B$22*前提!$B$7</f>
        <v>1653600</v>
      </c>
      <c r="L18" s="20" t="n">
        <f aca="false">F18+G18+J18</f>
        <v>18103360</v>
      </c>
      <c r="M18" s="20" t="n">
        <f aca="false">G18+K18+F18-C18*前提!$B$23</f>
        <v>17053600</v>
      </c>
    </row>
    <row r="19" customFormat="false" ht="15" hidden="false" customHeight="false" outlineLevel="0" collapsed="false">
      <c r="A19" s="26" t="n">
        <v>9</v>
      </c>
      <c r="B19" s="26" t="n">
        <f aca="false">IF(A19&lt;=12,1,IF(A19&lt;=24,2,3))</f>
        <v>1</v>
      </c>
      <c r="C19" s="27" t="n">
        <f aca="false">IF(B19=1,前提!$B$27/12,IF(B19=2,前提!$B$28/12,前提!$B$29/12))</f>
        <v>20</v>
      </c>
      <c r="D19" s="27" t="n">
        <f aca="false">D18+C19</f>
        <v>180</v>
      </c>
      <c r="E19" s="27" t="n">
        <f aca="false">D19</f>
        <v>180</v>
      </c>
      <c r="F19" s="20" t="n">
        <f aca="false">C19*前提!$B$19</f>
        <v>6600000</v>
      </c>
      <c r="G19" s="20" t="n">
        <f aca="false">E19*前提!$B$20</f>
        <v>9900000</v>
      </c>
      <c r="H19" s="18" t="n">
        <f aca="false">D19*前提!$B$26</f>
        <v>15840</v>
      </c>
      <c r="I19" s="19" t="n">
        <f aca="false">H19*前提!$B$15/前提!$B$14</f>
        <v>633.6</v>
      </c>
      <c r="J19" s="20" t="n">
        <f aca="false">I19*前提!$B$5</f>
        <v>3041280</v>
      </c>
      <c r="K19" s="20" t="n">
        <f aca="false">I19*前提!$B$10-C19*前提!$B$22*前提!$B$7</f>
        <v>1864800</v>
      </c>
      <c r="L19" s="20" t="n">
        <f aca="false">F19+G19+J19</f>
        <v>19541280</v>
      </c>
      <c r="M19" s="20" t="n">
        <f aca="false">G19+K19+F19-C19*前提!$B$23</f>
        <v>18364800</v>
      </c>
    </row>
    <row r="20" customFormat="false" ht="15" hidden="false" customHeight="false" outlineLevel="0" collapsed="false">
      <c r="A20" s="26" t="n">
        <v>10</v>
      </c>
      <c r="B20" s="26" t="n">
        <f aca="false">IF(A20&lt;=12,1,IF(A20&lt;=24,2,3))</f>
        <v>1</v>
      </c>
      <c r="C20" s="27" t="n">
        <f aca="false">IF(B20=1,前提!$B$27/12,IF(B20=2,前提!$B$28/12,前提!$B$29/12))</f>
        <v>20</v>
      </c>
      <c r="D20" s="27" t="n">
        <f aca="false">D19+C20</f>
        <v>200</v>
      </c>
      <c r="E20" s="27" t="n">
        <f aca="false">D20</f>
        <v>200</v>
      </c>
      <c r="F20" s="20" t="n">
        <f aca="false">C20*前提!$B$19</f>
        <v>6600000</v>
      </c>
      <c r="G20" s="20" t="n">
        <f aca="false">E20*前提!$B$20</f>
        <v>11000000</v>
      </c>
      <c r="H20" s="18" t="n">
        <f aca="false">D20*前提!$B$26</f>
        <v>17600</v>
      </c>
      <c r="I20" s="19" t="n">
        <f aca="false">H20*前提!$B$15/前提!$B$14</f>
        <v>704</v>
      </c>
      <c r="J20" s="20" t="n">
        <f aca="false">I20*前提!$B$5</f>
        <v>3379200</v>
      </c>
      <c r="K20" s="20" t="n">
        <f aca="false">I20*前提!$B$10-C20*前提!$B$22*前提!$B$7</f>
        <v>2076000</v>
      </c>
      <c r="L20" s="20" t="n">
        <f aca="false">F20+G20+J20</f>
        <v>20979200</v>
      </c>
      <c r="M20" s="20" t="n">
        <f aca="false">G20+K20+F20-C20*前提!$B$23</f>
        <v>19676000</v>
      </c>
    </row>
    <row r="21" customFormat="false" ht="15" hidden="false" customHeight="false" outlineLevel="0" collapsed="false">
      <c r="A21" s="26" t="n">
        <v>11</v>
      </c>
      <c r="B21" s="26" t="n">
        <f aca="false">IF(A21&lt;=12,1,IF(A21&lt;=24,2,3))</f>
        <v>1</v>
      </c>
      <c r="C21" s="27" t="n">
        <f aca="false">IF(B21=1,前提!$B$27/12,IF(B21=2,前提!$B$28/12,前提!$B$29/12))</f>
        <v>20</v>
      </c>
      <c r="D21" s="27" t="n">
        <f aca="false">D20+C21</f>
        <v>220</v>
      </c>
      <c r="E21" s="27" t="n">
        <f aca="false">D21</f>
        <v>220</v>
      </c>
      <c r="F21" s="20" t="n">
        <f aca="false">C21*前提!$B$19</f>
        <v>6600000</v>
      </c>
      <c r="G21" s="20" t="n">
        <f aca="false">E21*前提!$B$20</f>
        <v>12100000</v>
      </c>
      <c r="H21" s="18" t="n">
        <f aca="false">D21*前提!$B$26</f>
        <v>19360</v>
      </c>
      <c r="I21" s="19" t="n">
        <f aca="false">H21*前提!$B$15/前提!$B$14</f>
        <v>774.4</v>
      </c>
      <c r="J21" s="20" t="n">
        <f aca="false">I21*前提!$B$5</f>
        <v>3717120</v>
      </c>
      <c r="K21" s="20" t="n">
        <f aca="false">I21*前提!$B$10-C21*前提!$B$22*前提!$B$7</f>
        <v>2287200</v>
      </c>
      <c r="L21" s="20" t="n">
        <f aca="false">F21+G21+J21</f>
        <v>22417120</v>
      </c>
      <c r="M21" s="20" t="n">
        <f aca="false">G21+K21+F21-C21*前提!$B$23</f>
        <v>20987200</v>
      </c>
    </row>
    <row r="22" customFormat="false" ht="15" hidden="false" customHeight="false" outlineLevel="0" collapsed="false">
      <c r="A22" s="28" t="n">
        <v>12</v>
      </c>
      <c r="B22" s="28" t="n">
        <f aca="false">IF(A22&lt;=12,1,IF(A22&lt;=24,2,3))</f>
        <v>1</v>
      </c>
      <c r="C22" s="29" t="n">
        <f aca="false">IF(B22=1,前提!$B$27/12,IF(B22=2,前提!$B$28/12,前提!$B$29/12))</f>
        <v>20</v>
      </c>
      <c r="D22" s="29" t="n">
        <f aca="false">D21+C22</f>
        <v>240</v>
      </c>
      <c r="E22" s="29" t="n">
        <f aca="false">D22</f>
        <v>240</v>
      </c>
      <c r="F22" s="30" t="n">
        <f aca="false">C22*前提!$B$19</f>
        <v>6600000</v>
      </c>
      <c r="G22" s="30" t="n">
        <f aca="false">E22*前提!$B$20</f>
        <v>13200000</v>
      </c>
      <c r="H22" s="31" t="n">
        <f aca="false">D22*前提!$B$26</f>
        <v>21120</v>
      </c>
      <c r="I22" s="32" t="n">
        <f aca="false">H22*前提!$B$15/前提!$B$14</f>
        <v>844.8</v>
      </c>
      <c r="J22" s="30" t="n">
        <f aca="false">I22*前提!$B$5</f>
        <v>4055040</v>
      </c>
      <c r="K22" s="30" t="n">
        <f aca="false">I22*前提!$B$10-C22*前提!$B$22*前提!$B$7</f>
        <v>2498400</v>
      </c>
      <c r="L22" s="30" t="n">
        <f aca="false">F22+G22+J22</f>
        <v>23855040</v>
      </c>
      <c r="M22" s="30" t="n">
        <f aca="false">G22+K22+F22-C22*前提!$B$23</f>
        <v>22298400</v>
      </c>
    </row>
    <row r="23" customFormat="false" ht="15" hidden="false" customHeight="false" outlineLevel="0" collapsed="false">
      <c r="A23" s="26" t="n">
        <v>13</v>
      </c>
      <c r="B23" s="26" t="n">
        <f aca="false">IF(A23&lt;=12,1,IF(A23&lt;=24,2,3))</f>
        <v>2</v>
      </c>
      <c r="C23" s="27" t="n">
        <f aca="false">IF(B23=1,前提!$B$27/12,IF(B23=2,前提!$B$28/12,前提!$B$29/12))</f>
        <v>30</v>
      </c>
      <c r="D23" s="27" t="n">
        <f aca="false">D22+C23</f>
        <v>270</v>
      </c>
      <c r="E23" s="27" t="n">
        <f aca="false">D23</f>
        <v>270</v>
      </c>
      <c r="F23" s="20" t="n">
        <f aca="false">C23*前提!$B$19</f>
        <v>9900000</v>
      </c>
      <c r="G23" s="20" t="n">
        <f aca="false">E23*前提!$B$20</f>
        <v>14850000</v>
      </c>
      <c r="H23" s="18" t="n">
        <f aca="false">D23*前提!$B$26</f>
        <v>23760</v>
      </c>
      <c r="I23" s="19" t="n">
        <f aca="false">H23*前提!$B$15/前提!$B$14</f>
        <v>950.4</v>
      </c>
      <c r="J23" s="20" t="n">
        <f aca="false">I23*前提!$B$5</f>
        <v>4561920</v>
      </c>
      <c r="K23" s="20" t="n">
        <f aca="false">I23*前提!$B$10-C23*前提!$B$22*前提!$B$7</f>
        <v>2797200</v>
      </c>
      <c r="L23" s="20" t="n">
        <f aca="false">F23+G23+J23</f>
        <v>29311920</v>
      </c>
      <c r="M23" s="20" t="n">
        <f aca="false">G23+K23+F23-C23*前提!$B$23</f>
        <v>27547200</v>
      </c>
    </row>
    <row r="24" customFormat="false" ht="15" hidden="false" customHeight="false" outlineLevel="0" collapsed="false">
      <c r="A24" s="26" t="n">
        <v>14</v>
      </c>
      <c r="B24" s="26" t="n">
        <f aca="false">IF(A24&lt;=12,1,IF(A24&lt;=24,2,3))</f>
        <v>2</v>
      </c>
      <c r="C24" s="27" t="n">
        <f aca="false">IF(B24=1,前提!$B$27/12,IF(B24=2,前提!$B$28/12,前提!$B$29/12))</f>
        <v>30</v>
      </c>
      <c r="D24" s="27" t="n">
        <f aca="false">D23+C24</f>
        <v>300</v>
      </c>
      <c r="E24" s="27" t="n">
        <f aca="false">D24</f>
        <v>300</v>
      </c>
      <c r="F24" s="20" t="n">
        <f aca="false">C24*前提!$B$19</f>
        <v>9900000</v>
      </c>
      <c r="G24" s="20" t="n">
        <f aca="false">E24*前提!$B$20</f>
        <v>16500000</v>
      </c>
      <c r="H24" s="18" t="n">
        <f aca="false">D24*前提!$B$26</f>
        <v>26400</v>
      </c>
      <c r="I24" s="19" t="n">
        <f aca="false">H24*前提!$B$15/前提!$B$14</f>
        <v>1056</v>
      </c>
      <c r="J24" s="20" t="n">
        <f aca="false">I24*前提!$B$5</f>
        <v>5068800</v>
      </c>
      <c r="K24" s="20" t="n">
        <f aca="false">I24*前提!$B$10-C24*前提!$B$22*前提!$B$7</f>
        <v>3114000</v>
      </c>
      <c r="L24" s="20" t="n">
        <f aca="false">F24+G24+J24</f>
        <v>31468800</v>
      </c>
      <c r="M24" s="20" t="n">
        <f aca="false">G24+K24+F24-C24*前提!$B$23</f>
        <v>29514000</v>
      </c>
    </row>
    <row r="25" customFormat="false" ht="15" hidden="false" customHeight="false" outlineLevel="0" collapsed="false">
      <c r="A25" s="26" t="n">
        <v>15</v>
      </c>
      <c r="B25" s="26" t="n">
        <f aca="false">IF(A25&lt;=12,1,IF(A25&lt;=24,2,3))</f>
        <v>2</v>
      </c>
      <c r="C25" s="27" t="n">
        <f aca="false">IF(B25=1,前提!$B$27/12,IF(B25=2,前提!$B$28/12,前提!$B$29/12))</f>
        <v>30</v>
      </c>
      <c r="D25" s="27" t="n">
        <f aca="false">D24+C25</f>
        <v>330</v>
      </c>
      <c r="E25" s="27" t="n">
        <f aca="false">D25</f>
        <v>330</v>
      </c>
      <c r="F25" s="20" t="n">
        <f aca="false">C25*前提!$B$19</f>
        <v>9900000</v>
      </c>
      <c r="G25" s="20" t="n">
        <f aca="false">E25*前提!$B$20</f>
        <v>18150000</v>
      </c>
      <c r="H25" s="18" t="n">
        <f aca="false">D25*前提!$B$26</f>
        <v>29040</v>
      </c>
      <c r="I25" s="19" t="n">
        <f aca="false">H25*前提!$B$15/前提!$B$14</f>
        <v>1161.6</v>
      </c>
      <c r="J25" s="20" t="n">
        <f aca="false">I25*前提!$B$5</f>
        <v>5575680</v>
      </c>
      <c r="K25" s="20" t="n">
        <f aca="false">I25*前提!$B$10-C25*前提!$B$22*前提!$B$7</f>
        <v>3430800</v>
      </c>
      <c r="L25" s="20" t="n">
        <f aca="false">F25+G25+J25</f>
        <v>33625680</v>
      </c>
      <c r="M25" s="20" t="n">
        <f aca="false">G25+K25+F25-C25*前提!$B$23</f>
        <v>31480800</v>
      </c>
    </row>
    <row r="26" customFormat="false" ht="15" hidden="false" customHeight="false" outlineLevel="0" collapsed="false">
      <c r="A26" s="26" t="n">
        <v>16</v>
      </c>
      <c r="B26" s="26" t="n">
        <f aca="false">IF(A26&lt;=12,1,IF(A26&lt;=24,2,3))</f>
        <v>2</v>
      </c>
      <c r="C26" s="27" t="n">
        <f aca="false">IF(B26=1,前提!$B$27/12,IF(B26=2,前提!$B$28/12,前提!$B$29/12))</f>
        <v>30</v>
      </c>
      <c r="D26" s="27" t="n">
        <f aca="false">D25+C26</f>
        <v>360</v>
      </c>
      <c r="E26" s="27" t="n">
        <f aca="false">D26</f>
        <v>360</v>
      </c>
      <c r="F26" s="20" t="n">
        <f aca="false">C26*前提!$B$19</f>
        <v>9900000</v>
      </c>
      <c r="G26" s="20" t="n">
        <f aca="false">E26*前提!$B$20</f>
        <v>19800000</v>
      </c>
      <c r="H26" s="18" t="n">
        <f aca="false">D26*前提!$B$26</f>
        <v>31680</v>
      </c>
      <c r="I26" s="19" t="n">
        <f aca="false">H26*前提!$B$15/前提!$B$14</f>
        <v>1267.2</v>
      </c>
      <c r="J26" s="20" t="n">
        <f aca="false">I26*前提!$B$5</f>
        <v>6082560</v>
      </c>
      <c r="K26" s="20" t="n">
        <f aca="false">I26*前提!$B$10-C26*前提!$B$22*前提!$B$7</f>
        <v>3747600</v>
      </c>
      <c r="L26" s="20" t="n">
        <f aca="false">F26+G26+J26</f>
        <v>35782560</v>
      </c>
      <c r="M26" s="20" t="n">
        <f aca="false">G26+K26+F26-C26*前提!$B$23</f>
        <v>33447600</v>
      </c>
    </row>
    <row r="27" customFormat="false" ht="15" hidden="false" customHeight="false" outlineLevel="0" collapsed="false">
      <c r="A27" s="26" t="n">
        <v>17</v>
      </c>
      <c r="B27" s="26" t="n">
        <f aca="false">IF(A27&lt;=12,1,IF(A27&lt;=24,2,3))</f>
        <v>2</v>
      </c>
      <c r="C27" s="27" t="n">
        <f aca="false">IF(B27=1,前提!$B$27/12,IF(B27=2,前提!$B$28/12,前提!$B$29/12))</f>
        <v>30</v>
      </c>
      <c r="D27" s="27" t="n">
        <f aca="false">D26+C27</f>
        <v>390</v>
      </c>
      <c r="E27" s="27" t="n">
        <f aca="false">D27</f>
        <v>390</v>
      </c>
      <c r="F27" s="20" t="n">
        <f aca="false">C27*前提!$B$19</f>
        <v>9900000</v>
      </c>
      <c r="G27" s="20" t="n">
        <f aca="false">E27*前提!$B$20</f>
        <v>21450000</v>
      </c>
      <c r="H27" s="18" t="n">
        <f aca="false">D27*前提!$B$26</f>
        <v>34320</v>
      </c>
      <c r="I27" s="19" t="n">
        <f aca="false">H27*前提!$B$15/前提!$B$14</f>
        <v>1372.8</v>
      </c>
      <c r="J27" s="20" t="n">
        <f aca="false">I27*前提!$B$5</f>
        <v>6589440</v>
      </c>
      <c r="K27" s="20" t="n">
        <f aca="false">I27*前提!$B$10-C27*前提!$B$22*前提!$B$7</f>
        <v>4064400</v>
      </c>
      <c r="L27" s="20" t="n">
        <f aca="false">F27+G27+J27</f>
        <v>37939440</v>
      </c>
      <c r="M27" s="20" t="n">
        <f aca="false">G27+K27+F27-C27*前提!$B$23</f>
        <v>35414400</v>
      </c>
    </row>
    <row r="28" customFormat="false" ht="15" hidden="false" customHeight="false" outlineLevel="0" collapsed="false">
      <c r="A28" s="26" t="n">
        <v>18</v>
      </c>
      <c r="B28" s="26" t="n">
        <f aca="false">IF(A28&lt;=12,1,IF(A28&lt;=24,2,3))</f>
        <v>2</v>
      </c>
      <c r="C28" s="27" t="n">
        <f aca="false">IF(B28=1,前提!$B$27/12,IF(B28=2,前提!$B$28/12,前提!$B$29/12))</f>
        <v>30</v>
      </c>
      <c r="D28" s="27" t="n">
        <f aca="false">D27+C28</f>
        <v>420</v>
      </c>
      <c r="E28" s="27" t="n">
        <f aca="false">D28</f>
        <v>420</v>
      </c>
      <c r="F28" s="20" t="n">
        <f aca="false">C28*前提!$B$19</f>
        <v>9900000</v>
      </c>
      <c r="G28" s="20" t="n">
        <f aca="false">E28*前提!$B$20</f>
        <v>23100000</v>
      </c>
      <c r="H28" s="18" t="n">
        <f aca="false">D28*前提!$B$26</f>
        <v>36960</v>
      </c>
      <c r="I28" s="19" t="n">
        <f aca="false">H28*前提!$B$15/前提!$B$14</f>
        <v>1478.4</v>
      </c>
      <c r="J28" s="20" t="n">
        <f aca="false">I28*前提!$B$5</f>
        <v>7096320</v>
      </c>
      <c r="K28" s="20" t="n">
        <f aca="false">I28*前提!$B$10-C28*前提!$B$22*前提!$B$7</f>
        <v>4381200</v>
      </c>
      <c r="L28" s="20" t="n">
        <f aca="false">F28+G28+J28</f>
        <v>40096320</v>
      </c>
      <c r="M28" s="20" t="n">
        <f aca="false">G28+K28+F28-C28*前提!$B$23</f>
        <v>37381200</v>
      </c>
    </row>
    <row r="29" customFormat="false" ht="15" hidden="false" customHeight="false" outlineLevel="0" collapsed="false">
      <c r="A29" s="26" t="n">
        <v>19</v>
      </c>
      <c r="B29" s="26" t="n">
        <f aca="false">IF(A29&lt;=12,1,IF(A29&lt;=24,2,3))</f>
        <v>2</v>
      </c>
      <c r="C29" s="27" t="n">
        <f aca="false">IF(B29=1,前提!$B$27/12,IF(B29=2,前提!$B$28/12,前提!$B$29/12))</f>
        <v>30</v>
      </c>
      <c r="D29" s="27" t="n">
        <f aca="false">D28+C29</f>
        <v>450</v>
      </c>
      <c r="E29" s="27" t="n">
        <f aca="false">D29</f>
        <v>450</v>
      </c>
      <c r="F29" s="20" t="n">
        <f aca="false">C29*前提!$B$19</f>
        <v>9900000</v>
      </c>
      <c r="G29" s="20" t="n">
        <f aca="false">E29*前提!$B$20</f>
        <v>24750000</v>
      </c>
      <c r="H29" s="18" t="n">
        <f aca="false">D29*前提!$B$26</f>
        <v>39600</v>
      </c>
      <c r="I29" s="19" t="n">
        <f aca="false">H29*前提!$B$15/前提!$B$14</f>
        <v>1584</v>
      </c>
      <c r="J29" s="20" t="n">
        <f aca="false">I29*前提!$B$5</f>
        <v>7603200</v>
      </c>
      <c r="K29" s="20" t="n">
        <f aca="false">I29*前提!$B$10-C29*前提!$B$22*前提!$B$7</f>
        <v>4698000</v>
      </c>
      <c r="L29" s="20" t="n">
        <f aca="false">F29+G29+J29</f>
        <v>42253200</v>
      </c>
      <c r="M29" s="20" t="n">
        <f aca="false">G29+K29+F29-C29*前提!$B$23</f>
        <v>39348000</v>
      </c>
    </row>
    <row r="30" customFormat="false" ht="15" hidden="false" customHeight="false" outlineLevel="0" collapsed="false">
      <c r="A30" s="26" t="n">
        <v>20</v>
      </c>
      <c r="B30" s="26" t="n">
        <f aca="false">IF(A30&lt;=12,1,IF(A30&lt;=24,2,3))</f>
        <v>2</v>
      </c>
      <c r="C30" s="27" t="n">
        <f aca="false">IF(B30=1,前提!$B$27/12,IF(B30=2,前提!$B$28/12,前提!$B$29/12))</f>
        <v>30</v>
      </c>
      <c r="D30" s="27" t="n">
        <f aca="false">D29+C30</f>
        <v>480</v>
      </c>
      <c r="E30" s="27" t="n">
        <f aca="false">D30</f>
        <v>480</v>
      </c>
      <c r="F30" s="20" t="n">
        <f aca="false">C30*前提!$B$19</f>
        <v>9900000</v>
      </c>
      <c r="G30" s="20" t="n">
        <f aca="false">E30*前提!$B$20</f>
        <v>26400000</v>
      </c>
      <c r="H30" s="18" t="n">
        <f aca="false">D30*前提!$B$26</f>
        <v>42240</v>
      </c>
      <c r="I30" s="19" t="n">
        <f aca="false">H30*前提!$B$15/前提!$B$14</f>
        <v>1689.6</v>
      </c>
      <c r="J30" s="20" t="n">
        <f aca="false">I30*前提!$B$5</f>
        <v>8110080</v>
      </c>
      <c r="K30" s="20" t="n">
        <f aca="false">I30*前提!$B$10-C30*前提!$B$22*前提!$B$7</f>
        <v>5014800</v>
      </c>
      <c r="L30" s="20" t="n">
        <f aca="false">F30+G30+J30</f>
        <v>44410080</v>
      </c>
      <c r="M30" s="20" t="n">
        <f aca="false">G30+K30+F30-C30*前提!$B$23</f>
        <v>41314800</v>
      </c>
    </row>
    <row r="31" customFormat="false" ht="15" hidden="false" customHeight="false" outlineLevel="0" collapsed="false">
      <c r="A31" s="26" t="n">
        <v>21</v>
      </c>
      <c r="B31" s="26" t="n">
        <f aca="false">IF(A31&lt;=12,1,IF(A31&lt;=24,2,3))</f>
        <v>2</v>
      </c>
      <c r="C31" s="27" t="n">
        <f aca="false">IF(B31=1,前提!$B$27/12,IF(B31=2,前提!$B$28/12,前提!$B$29/12))</f>
        <v>30</v>
      </c>
      <c r="D31" s="27" t="n">
        <f aca="false">D30+C31</f>
        <v>510</v>
      </c>
      <c r="E31" s="27" t="n">
        <f aca="false">D31</f>
        <v>510</v>
      </c>
      <c r="F31" s="20" t="n">
        <f aca="false">C31*前提!$B$19</f>
        <v>9900000</v>
      </c>
      <c r="G31" s="20" t="n">
        <f aca="false">E31*前提!$B$20</f>
        <v>28050000</v>
      </c>
      <c r="H31" s="18" t="n">
        <f aca="false">D31*前提!$B$26</f>
        <v>44880</v>
      </c>
      <c r="I31" s="19" t="n">
        <f aca="false">H31*前提!$B$15/前提!$B$14</f>
        <v>1795.2</v>
      </c>
      <c r="J31" s="20" t="n">
        <f aca="false">I31*前提!$B$5</f>
        <v>8616960</v>
      </c>
      <c r="K31" s="20" t="n">
        <f aca="false">I31*前提!$B$10-C31*前提!$B$22*前提!$B$7</f>
        <v>5331600</v>
      </c>
      <c r="L31" s="20" t="n">
        <f aca="false">F31+G31+J31</f>
        <v>46566960</v>
      </c>
      <c r="M31" s="20" t="n">
        <f aca="false">G31+K31+F31-C31*前提!$B$23</f>
        <v>43281600</v>
      </c>
    </row>
    <row r="32" customFormat="false" ht="15" hidden="false" customHeight="false" outlineLevel="0" collapsed="false">
      <c r="A32" s="26" t="n">
        <v>22</v>
      </c>
      <c r="B32" s="26" t="n">
        <f aca="false">IF(A32&lt;=12,1,IF(A32&lt;=24,2,3))</f>
        <v>2</v>
      </c>
      <c r="C32" s="27" t="n">
        <f aca="false">IF(B32=1,前提!$B$27/12,IF(B32=2,前提!$B$28/12,前提!$B$29/12))</f>
        <v>30</v>
      </c>
      <c r="D32" s="27" t="n">
        <f aca="false">D31+C32</f>
        <v>540</v>
      </c>
      <c r="E32" s="27" t="n">
        <f aca="false">D32</f>
        <v>540</v>
      </c>
      <c r="F32" s="20" t="n">
        <f aca="false">C32*前提!$B$19</f>
        <v>9900000</v>
      </c>
      <c r="G32" s="20" t="n">
        <f aca="false">E32*前提!$B$20</f>
        <v>29700000</v>
      </c>
      <c r="H32" s="18" t="n">
        <f aca="false">D32*前提!$B$26</f>
        <v>47520</v>
      </c>
      <c r="I32" s="19" t="n">
        <f aca="false">H32*前提!$B$15/前提!$B$14</f>
        <v>1900.8</v>
      </c>
      <c r="J32" s="20" t="n">
        <f aca="false">I32*前提!$B$5</f>
        <v>9123840</v>
      </c>
      <c r="K32" s="20" t="n">
        <f aca="false">I32*前提!$B$10-C32*前提!$B$22*前提!$B$7</f>
        <v>5648400</v>
      </c>
      <c r="L32" s="20" t="n">
        <f aca="false">F32+G32+J32</f>
        <v>48723840</v>
      </c>
      <c r="M32" s="20" t="n">
        <f aca="false">G32+K32+F32-C32*前提!$B$23</f>
        <v>45248400</v>
      </c>
    </row>
    <row r="33" customFormat="false" ht="15" hidden="false" customHeight="false" outlineLevel="0" collapsed="false">
      <c r="A33" s="26" t="n">
        <v>23</v>
      </c>
      <c r="B33" s="26" t="n">
        <f aca="false">IF(A33&lt;=12,1,IF(A33&lt;=24,2,3))</f>
        <v>2</v>
      </c>
      <c r="C33" s="27" t="n">
        <f aca="false">IF(B33=1,前提!$B$27/12,IF(B33=2,前提!$B$28/12,前提!$B$29/12))</f>
        <v>30</v>
      </c>
      <c r="D33" s="27" t="n">
        <f aca="false">D32+C33</f>
        <v>570</v>
      </c>
      <c r="E33" s="27" t="n">
        <f aca="false">D33</f>
        <v>570</v>
      </c>
      <c r="F33" s="20" t="n">
        <f aca="false">C33*前提!$B$19</f>
        <v>9900000</v>
      </c>
      <c r="G33" s="20" t="n">
        <f aca="false">E33*前提!$B$20</f>
        <v>31350000</v>
      </c>
      <c r="H33" s="18" t="n">
        <f aca="false">D33*前提!$B$26</f>
        <v>50160</v>
      </c>
      <c r="I33" s="19" t="n">
        <f aca="false">H33*前提!$B$15/前提!$B$14</f>
        <v>2006.4</v>
      </c>
      <c r="J33" s="20" t="n">
        <f aca="false">I33*前提!$B$5</f>
        <v>9630720</v>
      </c>
      <c r="K33" s="20" t="n">
        <f aca="false">I33*前提!$B$10-C33*前提!$B$22*前提!$B$7</f>
        <v>5965200</v>
      </c>
      <c r="L33" s="20" t="n">
        <f aca="false">F33+G33+J33</f>
        <v>50880720</v>
      </c>
      <c r="M33" s="20" t="n">
        <f aca="false">G33+K33+F33-C33*前提!$B$23</f>
        <v>47215200</v>
      </c>
    </row>
    <row r="34" customFormat="false" ht="15" hidden="false" customHeight="false" outlineLevel="0" collapsed="false">
      <c r="A34" s="28" t="n">
        <v>24</v>
      </c>
      <c r="B34" s="28" t="n">
        <f aca="false">IF(A34&lt;=12,1,IF(A34&lt;=24,2,3))</f>
        <v>2</v>
      </c>
      <c r="C34" s="29" t="n">
        <f aca="false">IF(B34=1,前提!$B$27/12,IF(B34=2,前提!$B$28/12,前提!$B$29/12))</f>
        <v>30</v>
      </c>
      <c r="D34" s="29" t="n">
        <f aca="false">D33+C34</f>
        <v>600</v>
      </c>
      <c r="E34" s="29" t="n">
        <f aca="false">D34</f>
        <v>600</v>
      </c>
      <c r="F34" s="30" t="n">
        <f aca="false">C34*前提!$B$19</f>
        <v>9900000</v>
      </c>
      <c r="G34" s="30" t="n">
        <f aca="false">E34*前提!$B$20</f>
        <v>33000000</v>
      </c>
      <c r="H34" s="31" t="n">
        <f aca="false">D34*前提!$B$26</f>
        <v>52800</v>
      </c>
      <c r="I34" s="32" t="n">
        <f aca="false">H34*前提!$B$15/前提!$B$14</f>
        <v>2112</v>
      </c>
      <c r="J34" s="30" t="n">
        <f aca="false">I34*前提!$B$5</f>
        <v>10137600</v>
      </c>
      <c r="K34" s="30" t="n">
        <f aca="false">I34*前提!$B$10-C34*前提!$B$22*前提!$B$7</f>
        <v>6282000</v>
      </c>
      <c r="L34" s="30" t="n">
        <f aca="false">F34+G34+J34</f>
        <v>53037600</v>
      </c>
      <c r="M34" s="30" t="n">
        <f aca="false">G34+K34+F34-C34*前提!$B$23</f>
        <v>49182000</v>
      </c>
    </row>
    <row r="35" customFormat="false" ht="15" hidden="false" customHeight="false" outlineLevel="0" collapsed="false">
      <c r="A35" s="26" t="n">
        <v>25</v>
      </c>
      <c r="B35" s="26" t="n">
        <f aca="false">IF(A35&lt;=12,1,IF(A35&lt;=24,2,3))</f>
        <v>3</v>
      </c>
      <c r="C35" s="27" t="n">
        <f aca="false">IF(B35=1,前提!$B$27/12,IF(B35=2,前提!$B$28/12,前提!$B$29/12))</f>
        <v>33.3333333333333</v>
      </c>
      <c r="D35" s="27" t="n">
        <f aca="false">D34+C35</f>
        <v>633.333333333333</v>
      </c>
      <c r="E35" s="27" t="n">
        <f aca="false">D35</f>
        <v>633.333333333333</v>
      </c>
      <c r="F35" s="20" t="n">
        <f aca="false">C35*前提!$B$19</f>
        <v>11000000</v>
      </c>
      <c r="G35" s="20" t="n">
        <f aca="false">E35*前提!$B$20</f>
        <v>34833333.3333333</v>
      </c>
      <c r="H35" s="18" t="n">
        <f aca="false">D35*前提!$B$26</f>
        <v>55733.3333333333</v>
      </c>
      <c r="I35" s="19" t="n">
        <f aca="false">H35*前提!$B$15/前提!$B$14</f>
        <v>2229.33333333333</v>
      </c>
      <c r="J35" s="20" t="n">
        <f aca="false">I35*前提!$B$5</f>
        <v>10700800</v>
      </c>
      <c r="K35" s="20" t="n">
        <f aca="false">I35*前提!$B$10-C35*前提!$B$22*前提!$B$7</f>
        <v>6628000</v>
      </c>
      <c r="L35" s="20" t="n">
        <f aca="false">F35+G35+J35</f>
        <v>56534133.3333333</v>
      </c>
      <c r="M35" s="20" t="n">
        <f aca="false">G35+K35+F35-C35*前提!$B$23</f>
        <v>52461333.3333333</v>
      </c>
    </row>
    <row r="36" customFormat="false" ht="15" hidden="false" customHeight="false" outlineLevel="0" collapsed="false">
      <c r="A36" s="26" t="n">
        <v>26</v>
      </c>
      <c r="B36" s="26" t="n">
        <f aca="false">IF(A36&lt;=12,1,IF(A36&lt;=24,2,3))</f>
        <v>3</v>
      </c>
      <c r="C36" s="27" t="n">
        <f aca="false">IF(B36=1,前提!$B$27/12,IF(B36=2,前提!$B$28/12,前提!$B$29/12))</f>
        <v>33.3333333333333</v>
      </c>
      <c r="D36" s="27" t="n">
        <f aca="false">D35+C36</f>
        <v>666.666666666667</v>
      </c>
      <c r="E36" s="27" t="n">
        <f aca="false">D36</f>
        <v>666.666666666667</v>
      </c>
      <c r="F36" s="20" t="n">
        <f aca="false">C36*前提!$B$19</f>
        <v>11000000</v>
      </c>
      <c r="G36" s="20" t="n">
        <f aca="false">E36*前提!$B$20</f>
        <v>36666666.6666667</v>
      </c>
      <c r="H36" s="18" t="n">
        <f aca="false">D36*前提!$B$26</f>
        <v>58666.6666666667</v>
      </c>
      <c r="I36" s="19" t="n">
        <f aca="false">H36*前提!$B$15/前提!$B$14</f>
        <v>2346.66666666667</v>
      </c>
      <c r="J36" s="20" t="n">
        <f aca="false">I36*前提!$B$5</f>
        <v>11264000</v>
      </c>
      <c r="K36" s="20" t="n">
        <f aca="false">I36*前提!$B$10-C36*前提!$B$22*前提!$B$7</f>
        <v>6980000</v>
      </c>
      <c r="L36" s="20" t="n">
        <f aca="false">F36+G36+J36</f>
        <v>58930666.6666667</v>
      </c>
      <c r="M36" s="20" t="n">
        <f aca="false">G36+K36+F36-C36*前提!$B$23</f>
        <v>54646666.6666667</v>
      </c>
    </row>
    <row r="37" customFormat="false" ht="15" hidden="false" customHeight="false" outlineLevel="0" collapsed="false">
      <c r="A37" s="26" t="n">
        <v>27</v>
      </c>
      <c r="B37" s="26" t="n">
        <f aca="false">IF(A37&lt;=12,1,IF(A37&lt;=24,2,3))</f>
        <v>3</v>
      </c>
      <c r="C37" s="27" t="n">
        <f aca="false">IF(B37=1,前提!$B$27/12,IF(B37=2,前提!$B$28/12,前提!$B$29/12))</f>
        <v>33.3333333333333</v>
      </c>
      <c r="D37" s="27" t="n">
        <f aca="false">D36+C37</f>
        <v>700</v>
      </c>
      <c r="E37" s="27" t="n">
        <f aca="false">D37</f>
        <v>700</v>
      </c>
      <c r="F37" s="20" t="n">
        <f aca="false">C37*前提!$B$19</f>
        <v>11000000</v>
      </c>
      <c r="G37" s="20" t="n">
        <f aca="false">E37*前提!$B$20</f>
        <v>38500000</v>
      </c>
      <c r="H37" s="18" t="n">
        <f aca="false">D37*前提!$B$26</f>
        <v>61600</v>
      </c>
      <c r="I37" s="19" t="n">
        <f aca="false">H37*前提!$B$15/前提!$B$14</f>
        <v>2464</v>
      </c>
      <c r="J37" s="20" t="n">
        <f aca="false">I37*前提!$B$5</f>
        <v>11827200</v>
      </c>
      <c r="K37" s="20" t="n">
        <f aca="false">I37*前提!$B$10-C37*前提!$B$22*前提!$B$7</f>
        <v>7332000</v>
      </c>
      <c r="L37" s="20" t="n">
        <f aca="false">F37+G37+J37</f>
        <v>61327200</v>
      </c>
      <c r="M37" s="20" t="n">
        <f aca="false">G37+K37+F37-C37*前提!$B$23</f>
        <v>56832000</v>
      </c>
    </row>
    <row r="38" customFormat="false" ht="15" hidden="false" customHeight="false" outlineLevel="0" collapsed="false">
      <c r="A38" s="26" t="n">
        <v>28</v>
      </c>
      <c r="B38" s="26" t="n">
        <f aca="false">IF(A38&lt;=12,1,IF(A38&lt;=24,2,3))</f>
        <v>3</v>
      </c>
      <c r="C38" s="27" t="n">
        <f aca="false">IF(B38=1,前提!$B$27/12,IF(B38=2,前提!$B$28/12,前提!$B$29/12))</f>
        <v>33.3333333333333</v>
      </c>
      <c r="D38" s="27" t="n">
        <f aca="false">D37+C38</f>
        <v>733.333333333334</v>
      </c>
      <c r="E38" s="27" t="n">
        <f aca="false">D38</f>
        <v>733.333333333334</v>
      </c>
      <c r="F38" s="20" t="n">
        <f aca="false">C38*前提!$B$19</f>
        <v>11000000</v>
      </c>
      <c r="G38" s="20" t="n">
        <f aca="false">E38*前提!$B$20</f>
        <v>40333333.3333333</v>
      </c>
      <c r="H38" s="18" t="n">
        <f aca="false">D38*前提!$B$26</f>
        <v>64533.3333333333</v>
      </c>
      <c r="I38" s="19" t="n">
        <f aca="false">H38*前提!$B$15/前提!$B$14</f>
        <v>2581.33333333333</v>
      </c>
      <c r="J38" s="20" t="n">
        <f aca="false">I38*前提!$B$5</f>
        <v>12390400</v>
      </c>
      <c r="K38" s="20" t="n">
        <f aca="false">I38*前提!$B$10-C38*前提!$B$22*前提!$B$7</f>
        <v>7684000</v>
      </c>
      <c r="L38" s="20" t="n">
        <f aca="false">F38+G38+J38</f>
        <v>63723733.3333333</v>
      </c>
      <c r="M38" s="20" t="n">
        <f aca="false">G38+K38+F38-C38*前提!$B$23</f>
        <v>59017333.3333333</v>
      </c>
    </row>
    <row r="39" customFormat="false" ht="15" hidden="false" customHeight="false" outlineLevel="0" collapsed="false">
      <c r="A39" s="26" t="n">
        <v>29</v>
      </c>
      <c r="B39" s="26" t="n">
        <f aca="false">IF(A39&lt;=12,1,IF(A39&lt;=24,2,3))</f>
        <v>3</v>
      </c>
      <c r="C39" s="27" t="n">
        <f aca="false">IF(B39=1,前提!$B$27/12,IF(B39=2,前提!$B$28/12,前提!$B$29/12))</f>
        <v>33.3333333333333</v>
      </c>
      <c r="D39" s="27" t="n">
        <f aca="false">D38+C39</f>
        <v>766.666666666667</v>
      </c>
      <c r="E39" s="27" t="n">
        <f aca="false">D39</f>
        <v>766.666666666667</v>
      </c>
      <c r="F39" s="20" t="n">
        <f aca="false">C39*前提!$B$19</f>
        <v>11000000</v>
      </c>
      <c r="G39" s="20" t="n">
        <f aca="false">E39*前提!$B$20</f>
        <v>42166666.6666667</v>
      </c>
      <c r="H39" s="18" t="n">
        <f aca="false">D39*前提!$B$26</f>
        <v>67466.6666666667</v>
      </c>
      <c r="I39" s="19" t="n">
        <f aca="false">H39*前提!$B$15/前提!$B$14</f>
        <v>2698.66666666667</v>
      </c>
      <c r="J39" s="20" t="n">
        <f aca="false">I39*前提!$B$5</f>
        <v>12953600</v>
      </c>
      <c r="K39" s="20" t="n">
        <f aca="false">I39*前提!$B$10-C39*前提!$B$22*前提!$B$7</f>
        <v>8036000</v>
      </c>
      <c r="L39" s="20" t="n">
        <f aca="false">F39+G39+J39</f>
        <v>66120266.6666667</v>
      </c>
      <c r="M39" s="20" t="n">
        <f aca="false">G39+K39+F39-C39*前提!$B$23</f>
        <v>61202666.6666667</v>
      </c>
    </row>
    <row r="40" customFormat="false" ht="15" hidden="false" customHeight="false" outlineLevel="0" collapsed="false">
      <c r="A40" s="26" t="n">
        <v>30</v>
      </c>
      <c r="B40" s="26" t="n">
        <f aca="false">IF(A40&lt;=12,1,IF(A40&lt;=24,2,3))</f>
        <v>3</v>
      </c>
      <c r="C40" s="27" t="n">
        <f aca="false">IF(B40=1,前提!$B$27/12,IF(B40=2,前提!$B$28/12,前提!$B$29/12))</f>
        <v>33.3333333333333</v>
      </c>
      <c r="D40" s="27" t="n">
        <f aca="false">D39+C40</f>
        <v>800</v>
      </c>
      <c r="E40" s="27" t="n">
        <f aca="false">D40</f>
        <v>800</v>
      </c>
      <c r="F40" s="20" t="n">
        <f aca="false">C40*前提!$B$19</f>
        <v>11000000</v>
      </c>
      <c r="G40" s="20" t="n">
        <f aca="false">E40*前提!$B$20</f>
        <v>44000000</v>
      </c>
      <c r="H40" s="18" t="n">
        <f aca="false">D40*前提!$B$26</f>
        <v>70400</v>
      </c>
      <c r="I40" s="19" t="n">
        <f aca="false">H40*前提!$B$15/前提!$B$14</f>
        <v>2816</v>
      </c>
      <c r="J40" s="20" t="n">
        <f aca="false">I40*前提!$B$5</f>
        <v>13516800</v>
      </c>
      <c r="K40" s="20" t="n">
        <f aca="false">I40*前提!$B$10-C40*前提!$B$22*前提!$B$7</f>
        <v>8388000</v>
      </c>
      <c r="L40" s="20" t="n">
        <f aca="false">F40+G40+J40</f>
        <v>68516800</v>
      </c>
      <c r="M40" s="20" t="n">
        <f aca="false">G40+K40+F40-C40*前提!$B$23</f>
        <v>63388000</v>
      </c>
    </row>
    <row r="41" customFormat="false" ht="15" hidden="false" customHeight="false" outlineLevel="0" collapsed="false">
      <c r="A41" s="26" t="n">
        <v>31</v>
      </c>
      <c r="B41" s="26" t="n">
        <f aca="false">IF(A41&lt;=12,1,IF(A41&lt;=24,2,3))</f>
        <v>3</v>
      </c>
      <c r="C41" s="27" t="n">
        <f aca="false">IF(B41=1,前提!$B$27/12,IF(B41=2,前提!$B$28/12,前提!$B$29/12))</f>
        <v>33.3333333333333</v>
      </c>
      <c r="D41" s="27" t="n">
        <f aca="false">D40+C41</f>
        <v>833.333333333334</v>
      </c>
      <c r="E41" s="27" t="n">
        <f aca="false">D41</f>
        <v>833.333333333334</v>
      </c>
      <c r="F41" s="20" t="n">
        <f aca="false">C41*前提!$B$19</f>
        <v>11000000</v>
      </c>
      <c r="G41" s="20" t="n">
        <f aca="false">E41*前提!$B$20</f>
        <v>45833333.3333334</v>
      </c>
      <c r="H41" s="18" t="n">
        <f aca="false">D41*前提!$B$26</f>
        <v>73333.3333333334</v>
      </c>
      <c r="I41" s="19" t="n">
        <f aca="false">H41*前提!$B$15/前提!$B$14</f>
        <v>2933.33333333333</v>
      </c>
      <c r="J41" s="20" t="n">
        <f aca="false">I41*前提!$B$5</f>
        <v>14080000</v>
      </c>
      <c r="K41" s="20" t="n">
        <f aca="false">I41*前提!$B$10-C41*前提!$B$22*前提!$B$7</f>
        <v>8740000</v>
      </c>
      <c r="L41" s="20" t="n">
        <f aca="false">F41+G41+J41</f>
        <v>70913333.3333334</v>
      </c>
      <c r="M41" s="20" t="n">
        <f aca="false">G41+K41+F41-C41*前提!$B$23</f>
        <v>65573333.3333334</v>
      </c>
    </row>
    <row r="42" customFormat="false" ht="15" hidden="false" customHeight="false" outlineLevel="0" collapsed="false">
      <c r="A42" s="26" t="n">
        <v>32</v>
      </c>
      <c r="B42" s="26" t="n">
        <f aca="false">IF(A42&lt;=12,1,IF(A42&lt;=24,2,3))</f>
        <v>3</v>
      </c>
      <c r="C42" s="27" t="n">
        <f aca="false">IF(B42=1,前提!$B$27/12,IF(B42=2,前提!$B$28/12,前提!$B$29/12))</f>
        <v>33.3333333333333</v>
      </c>
      <c r="D42" s="27" t="n">
        <f aca="false">D41+C42</f>
        <v>866.666666666667</v>
      </c>
      <c r="E42" s="27" t="n">
        <f aca="false">D42</f>
        <v>866.666666666667</v>
      </c>
      <c r="F42" s="20" t="n">
        <f aca="false">C42*前提!$B$19</f>
        <v>11000000</v>
      </c>
      <c r="G42" s="20" t="n">
        <f aca="false">E42*前提!$B$20</f>
        <v>47666666.6666667</v>
      </c>
      <c r="H42" s="18" t="n">
        <f aca="false">D42*前提!$B$26</f>
        <v>76266.6666666667</v>
      </c>
      <c r="I42" s="19" t="n">
        <f aca="false">H42*前提!$B$15/前提!$B$14</f>
        <v>3050.66666666667</v>
      </c>
      <c r="J42" s="20" t="n">
        <f aca="false">I42*前提!$B$5</f>
        <v>14643200</v>
      </c>
      <c r="K42" s="20" t="n">
        <f aca="false">I42*前提!$B$10-C42*前提!$B$22*前提!$B$7</f>
        <v>9092000</v>
      </c>
      <c r="L42" s="20" t="n">
        <f aca="false">F42+G42+J42</f>
        <v>73309866.6666667</v>
      </c>
      <c r="M42" s="20" t="n">
        <f aca="false">G42+K42+F42-C42*前提!$B$23</f>
        <v>67758666.6666667</v>
      </c>
    </row>
    <row r="43" customFormat="false" ht="15" hidden="false" customHeight="false" outlineLevel="0" collapsed="false">
      <c r="A43" s="26" t="n">
        <v>33</v>
      </c>
      <c r="B43" s="26" t="n">
        <f aca="false">IF(A43&lt;=12,1,IF(A43&lt;=24,2,3))</f>
        <v>3</v>
      </c>
      <c r="C43" s="27" t="n">
        <f aca="false">IF(B43=1,前提!$B$27/12,IF(B43=2,前提!$B$28/12,前提!$B$29/12))</f>
        <v>33.3333333333333</v>
      </c>
      <c r="D43" s="27" t="n">
        <f aca="false">D42+C43</f>
        <v>900</v>
      </c>
      <c r="E43" s="27" t="n">
        <f aca="false">D43</f>
        <v>900</v>
      </c>
      <c r="F43" s="20" t="n">
        <f aca="false">C43*前提!$B$19</f>
        <v>11000000</v>
      </c>
      <c r="G43" s="20" t="n">
        <f aca="false">E43*前提!$B$20</f>
        <v>49500000</v>
      </c>
      <c r="H43" s="18" t="n">
        <f aca="false">D43*前提!$B$26</f>
        <v>79200</v>
      </c>
      <c r="I43" s="19" t="n">
        <f aca="false">H43*前提!$B$15/前提!$B$14</f>
        <v>3168</v>
      </c>
      <c r="J43" s="20" t="n">
        <f aca="false">I43*前提!$B$5</f>
        <v>15206400</v>
      </c>
      <c r="K43" s="20" t="n">
        <f aca="false">I43*前提!$B$10-C43*前提!$B$22*前提!$B$7</f>
        <v>9444000</v>
      </c>
      <c r="L43" s="20" t="n">
        <f aca="false">F43+G43+J43</f>
        <v>75706400</v>
      </c>
      <c r="M43" s="20" t="n">
        <f aca="false">G43+K43+F43-C43*前提!$B$23</f>
        <v>69944000</v>
      </c>
    </row>
    <row r="44" customFormat="false" ht="15" hidden="false" customHeight="false" outlineLevel="0" collapsed="false">
      <c r="A44" s="26" t="n">
        <v>34</v>
      </c>
      <c r="B44" s="26" t="n">
        <f aca="false">IF(A44&lt;=12,1,IF(A44&lt;=24,2,3))</f>
        <v>3</v>
      </c>
      <c r="C44" s="27" t="n">
        <f aca="false">IF(B44=1,前提!$B$27/12,IF(B44=2,前提!$B$28/12,前提!$B$29/12))</f>
        <v>33.3333333333333</v>
      </c>
      <c r="D44" s="27" t="n">
        <f aca="false">D43+C44</f>
        <v>933.333333333334</v>
      </c>
      <c r="E44" s="27" t="n">
        <f aca="false">D44</f>
        <v>933.333333333334</v>
      </c>
      <c r="F44" s="20" t="n">
        <f aca="false">C44*前提!$B$19</f>
        <v>11000000</v>
      </c>
      <c r="G44" s="20" t="n">
        <f aca="false">E44*前提!$B$20</f>
        <v>51333333.3333334</v>
      </c>
      <c r="H44" s="18" t="n">
        <f aca="false">D44*前提!$B$26</f>
        <v>82133.3333333334</v>
      </c>
      <c r="I44" s="19" t="n">
        <f aca="false">H44*前提!$B$15/前提!$B$14</f>
        <v>3285.33333333333</v>
      </c>
      <c r="J44" s="20" t="n">
        <f aca="false">I44*前提!$B$5</f>
        <v>15769600</v>
      </c>
      <c r="K44" s="20" t="n">
        <f aca="false">I44*前提!$B$10-C44*前提!$B$22*前提!$B$7</f>
        <v>9796000</v>
      </c>
      <c r="L44" s="20" t="n">
        <f aca="false">F44+G44+J44</f>
        <v>78102933.3333334</v>
      </c>
      <c r="M44" s="20" t="n">
        <f aca="false">G44+K44+F44-C44*前提!$B$23</f>
        <v>72129333.3333334</v>
      </c>
    </row>
    <row r="45" customFormat="false" ht="15" hidden="false" customHeight="false" outlineLevel="0" collapsed="false">
      <c r="A45" s="26" t="n">
        <v>35</v>
      </c>
      <c r="B45" s="26" t="n">
        <f aca="false">IF(A45&lt;=12,1,IF(A45&lt;=24,2,3))</f>
        <v>3</v>
      </c>
      <c r="C45" s="27" t="n">
        <f aca="false">IF(B45=1,前提!$B$27/12,IF(B45=2,前提!$B$28/12,前提!$B$29/12))</f>
        <v>33.3333333333333</v>
      </c>
      <c r="D45" s="27" t="n">
        <f aca="false">D44+C45</f>
        <v>966.666666666667</v>
      </c>
      <c r="E45" s="27" t="n">
        <f aca="false">D45</f>
        <v>966.666666666667</v>
      </c>
      <c r="F45" s="20" t="n">
        <f aca="false">C45*前提!$B$19</f>
        <v>11000000</v>
      </c>
      <c r="G45" s="20" t="n">
        <f aca="false">E45*前提!$B$20</f>
        <v>53166666.6666667</v>
      </c>
      <c r="H45" s="18" t="n">
        <f aca="false">D45*前提!$B$26</f>
        <v>85066.6666666667</v>
      </c>
      <c r="I45" s="19" t="n">
        <f aca="false">H45*前提!$B$15/前提!$B$14</f>
        <v>3402.66666666667</v>
      </c>
      <c r="J45" s="20" t="n">
        <f aca="false">I45*前提!$B$5</f>
        <v>16332800</v>
      </c>
      <c r="K45" s="20" t="n">
        <f aca="false">I45*前提!$B$10-C45*前提!$B$22*前提!$B$7</f>
        <v>10148000</v>
      </c>
      <c r="L45" s="20" t="n">
        <f aca="false">F45+G45+J45</f>
        <v>80499466.6666667</v>
      </c>
      <c r="M45" s="20" t="n">
        <f aca="false">G45+K45+F45-C45*前提!$B$23</f>
        <v>74314666.6666667</v>
      </c>
    </row>
    <row r="46" customFormat="false" ht="15" hidden="false" customHeight="false" outlineLevel="0" collapsed="false">
      <c r="A46" s="28" t="n">
        <v>36</v>
      </c>
      <c r="B46" s="28" t="n">
        <f aca="false">IF(A46&lt;=12,1,IF(A46&lt;=24,2,3))</f>
        <v>3</v>
      </c>
      <c r="C46" s="29" t="n">
        <f aca="false">IF(B46=1,前提!$B$27/12,IF(B46=2,前提!$B$28/12,前提!$B$29/12))</f>
        <v>33.3333333333333</v>
      </c>
      <c r="D46" s="29" t="n">
        <f aca="false">D45+C46</f>
        <v>1000</v>
      </c>
      <c r="E46" s="29" t="n">
        <f aca="false">D46</f>
        <v>1000</v>
      </c>
      <c r="F46" s="30" t="n">
        <f aca="false">C46*前提!$B$19</f>
        <v>11000000</v>
      </c>
      <c r="G46" s="30" t="n">
        <f aca="false">E46*前提!$B$20</f>
        <v>55000000</v>
      </c>
      <c r="H46" s="31" t="n">
        <f aca="false">D46*前提!$B$26</f>
        <v>88000</v>
      </c>
      <c r="I46" s="32" t="n">
        <f aca="false">H46*前提!$B$15/前提!$B$14</f>
        <v>3520</v>
      </c>
      <c r="J46" s="30" t="n">
        <f aca="false">I46*前提!$B$5</f>
        <v>16896000</v>
      </c>
      <c r="K46" s="30" t="n">
        <f aca="false">I46*前提!$B$10-C46*前提!$B$22*前提!$B$7</f>
        <v>10500000</v>
      </c>
      <c r="L46" s="30" t="n">
        <f aca="false">F46+G46+J46</f>
        <v>82896000</v>
      </c>
      <c r="M46" s="30" t="n">
        <f aca="false">G46+K46+F46-C46*前提!$B$23</f>
        <v>76500000</v>
      </c>
    </row>
    <row r="48" customFormat="false" ht="15" hidden="false" customHeight="false" outlineLevel="0" collapsed="false">
      <c r="A48" s="2" t="s">
        <v>84</v>
      </c>
    </row>
    <row r="49" customFormat="false" ht="15" hidden="false" customHeight="false" outlineLevel="0" collapsed="false">
      <c r="A49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2026-07-15T07:54:37Z</dcterms:created>
  <dc:creator>openpyxl</dc:creator>
  <dc:description/>
  <dc:language>en-US</dc:language>
  <cp:lastModifiedBy/>
  <dcterms:modified xsi:type="dcterms:W3CDTF">2026-07-15T07:54:37Z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