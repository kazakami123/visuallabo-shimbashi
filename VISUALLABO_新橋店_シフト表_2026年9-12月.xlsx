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・ルール" sheetId="1" state="visible" r:id="rId3"/>
    <sheet name="9月" sheetId="2" state="visible" r:id="rId4"/>
    <sheet name="10月" sheetId="3" state="visible" r:id="rId5"/>
    <sheet name="11月" sheetId="4" state="visible" r:id="rId6"/>
    <sheet name="12月" sheetId="5" state="visible" r:id="rId7"/>
  </sheets>
  <definedNames>
    <definedName function="false" hidden="false" localSheetId="2" name="_xlnm.Print_Area" vbProcedure="false">10月!$A$1:$AK$22</definedName>
    <definedName function="false" hidden="false" localSheetId="3" name="_xlnm.Print_Area" vbProcedure="false">11月!$A$1:$AJ$22</definedName>
    <definedName function="false" hidden="false" localSheetId="4" name="_xlnm.Print_Area" vbProcedure="false">12月!$A$1:$AK$22</definedName>
    <definedName function="false" hidden="false" localSheetId="1" name="_xlnm.Print_Area" vbProcedure="false">9月!$A$1:$AJ$22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Noto Sans CJK SC"/>
            <family val="2"/>
          </rPr>
          <t xml:space="preserve">祝日（営業）</t>
        </r>
      </text>
    </comment>
    <comment ref="X5" authorId="0">
      <text>
        <r>
          <rPr>
            <sz val="10"/>
            <rFont val="Noto Sans CJK SC"/>
            <family val="2"/>
          </rPr>
          <t xml:space="preserve">祝日（営業）</t>
        </r>
      </text>
    </comment>
  </commentList>
</comments>
</file>

<file path=xl/sharedStrings.xml><?xml version="1.0" encoding="utf-8"?>
<sst xmlns="http://schemas.openxmlformats.org/spreadsheetml/2006/main" count="1404" uniqueCount="81">
  <si>
    <r>
      <rPr>
        <b val="true"/>
        <sz val="14"/>
        <rFont val="Arial"/>
        <family val="0"/>
        <charset val="1"/>
      </rPr>
      <t xml:space="preserve">VISUAL LABO </t>
    </r>
    <r>
      <rPr>
        <b val="true"/>
        <sz val="14"/>
        <rFont val="Noto Sans CJK SC"/>
        <family val="2"/>
      </rPr>
      <t xml:space="preserve">新橋店　シフト表（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月〜</t>
    </r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Noto Sans CJK SC"/>
        <family val="2"/>
      </rPr>
      <t xml:space="preserve">月）前提</t>
    </r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</si>
  <si>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</si>
  <si>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</si>
  <si>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</si>
  <si>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</si>
  <si>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月</t>
    </r>
  </si>
  <si>
    <t xml:space="preserve">暦日数</t>
  </si>
  <si>
    <t xml:space="preserve">店休日</t>
  </si>
  <si>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</si>
  <si>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日</t>
    </r>
  </si>
  <si>
    <t xml:space="preserve">なし</t>
  </si>
  <si>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日</t>
    </r>
  </si>
  <si>
    <t xml:space="preserve">営業日数</t>
  </si>
  <si>
    <t xml:space="preserve">うち土日祝（営業）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</si>
  <si>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人あたり休日数（指定）</t>
    </r>
  </si>
  <si>
    <t xml:space="preserve">　うち店休日</t>
  </si>
  <si>
    <t xml:space="preserve">　うち公休（個人の休み）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</si>
  <si>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人あたり出勤日数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</si>
  <si>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日の出勤人数（土日も同じ）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</si>
  <si>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（休み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名）</t>
    </r>
  </si>
  <si>
    <t xml:space="preserve">希望休の反映</t>
  </si>
  <si>
    <t xml:space="preserve">反映済（前半）</t>
  </si>
  <si>
    <t xml:space="preserve">未反映</t>
  </si>
  <si>
    <t xml:space="preserve">スタッフ数</t>
  </si>
  <si>
    <t xml:space="preserve">■ 前提（風神さんから指定）</t>
  </si>
  <si>
    <r>
      <rPr>
        <sz val="10"/>
        <rFont val="Noto Sans CJK SC"/>
        <family val="2"/>
      </rPr>
      <t xml:space="preserve">・営業時間 </t>
    </r>
    <r>
      <rPr>
        <sz val="10"/>
        <rFont val="Arial"/>
        <family val="0"/>
        <charset val="1"/>
      </rPr>
      <t xml:space="preserve">11:00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21:00</t>
    </r>
    <r>
      <rPr>
        <sz val="10"/>
        <rFont val="Noto Sans CJK SC"/>
        <family val="2"/>
      </rPr>
      <t xml:space="preserve">、スタッフ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名、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交代制（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早番 </t>
    </r>
    <r>
      <rPr>
        <sz val="10"/>
        <rFont val="Arial"/>
        <family val="0"/>
        <charset val="1"/>
      </rPr>
      <t xml:space="preserve">11:00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20:00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遅番 </t>
    </r>
    <r>
      <rPr>
        <sz val="10"/>
        <rFont val="Arial"/>
        <family val="0"/>
        <charset val="1"/>
      </rPr>
      <t xml:space="preserve">12:00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21:00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</si>
  <si>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・休日数：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日・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日・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日・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日（店休日を含む）</t>
    </r>
  </si>
  <si>
    <r>
      <rPr>
        <sz val="10"/>
        <rFont val="Noto Sans CJK SC"/>
        <family val="2"/>
      </rPr>
      <t xml:space="preserve">・店休日：</t>
    </r>
    <r>
      <rPr>
        <sz val="10"/>
        <rFont val="Arial"/>
        <family val="0"/>
        <charset val="1"/>
      </rPr>
      <t xml:space="preserve">9/19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10/12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12/28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31</t>
    </r>
  </si>
  <si>
    <t xml:space="preserve">・土日も平日と同じ出勤人数。遅番の人数を平日は厚めに、土日は早番を厚めに</t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</si>
  <si>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9/14</t>
    </r>
    <r>
      <rPr>
        <sz val="10"/>
        <rFont val="Noto Sans CJK SC"/>
        <family val="2"/>
      </rPr>
      <t xml:space="preserve">オープン。</t>
    </r>
    <r>
      <rPr>
        <sz val="10"/>
        <rFont val="Arial"/>
        <family val="0"/>
        <charset val="1"/>
      </rPr>
      <t xml:space="preserve">9/1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9/5</t>
    </r>
    <r>
      <rPr>
        <sz val="10"/>
        <rFont val="Noto Sans CJK SC"/>
        <family val="2"/>
      </rPr>
      <t xml:space="preserve">は全員出勤、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日の間に休み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回、前半（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日）は公休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回・後半は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回、連休前後の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日・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日は全員出勤、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日はなるべく休みを入れない（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連勤を避けるため一部あり）。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月前半の希望休（阿部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／大西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／森田萌花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／坂本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／天野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／森田ゆかり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／石井は月火に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回／田中は火曜か土曜に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回）を反映</t>
    </r>
  </si>
  <si>
    <r>
      <rPr>
        <b val="true"/>
        <sz val="10"/>
        <rFont val="Noto Sans CJK SC"/>
        <family val="2"/>
      </rPr>
      <t xml:space="preserve">■ 組み方（</t>
    </r>
    <r>
      <rPr>
        <b val="true"/>
        <sz val="10"/>
        <rFont val="Arial"/>
        <family val="0"/>
        <charset val="1"/>
      </rPr>
      <t xml:space="preserve">Claude</t>
    </r>
    <r>
      <rPr>
        <b val="true"/>
        <sz val="10"/>
        <rFont val="Noto Sans CJK SC"/>
        <family val="2"/>
      </rPr>
      <t xml:space="preserve">が置いた前提。変えたい場合はこの数字を指定してください）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</si>
  <si>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日の休みは毎日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名（＝出勤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名）で均一にする。全員出勤日はその分を他の日で吸収。希望休が重なる日はその人数。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連勤なし・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連休なしと両立できない日だけ休み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名（出勤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名）になる</t>
    </r>
  </si>
  <si>
    <r>
      <rPr>
        <sz val="10"/>
        <rFont val="Noto Sans CJK SC"/>
        <family val="2"/>
      </rPr>
      <t xml:space="preserve">・営業する祝日（</t>
    </r>
    <r>
      <rPr>
        <sz val="10"/>
        <rFont val="Arial"/>
        <family val="0"/>
        <charset val="1"/>
      </rPr>
      <t xml:space="preserve">11/3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11/23</t>
    </r>
    <r>
      <rPr>
        <sz val="10"/>
        <rFont val="Noto Sans CJK SC"/>
        <family val="2"/>
      </rPr>
      <t xml:space="preserve">）は土日と同じ扱い（早番多め）</t>
    </r>
  </si>
  <si>
    <r>
      <rPr>
        <sz val="10"/>
        <rFont val="Noto Sans CJK SC"/>
        <family val="2"/>
      </rPr>
      <t xml:space="preserve">・連勤は最長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連勤なし）。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月は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連休があるので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連休を入れない。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月以降は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連休を月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回まで</t>
    </r>
  </si>
  <si>
    <r>
      <rPr>
        <sz val="10"/>
        <rFont val="Noto Sans CJK SC"/>
        <family val="2"/>
      </rPr>
      <t xml:space="preserve">・土日祝の休みは全員ほぼ同数。同じ曜日に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回以上休まない。公休は月の前半・後半に分散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</si>
  <si>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9/1</t>
    </r>
    <r>
      <rPr>
        <sz val="10"/>
        <rFont val="Noto Sans CJK SC"/>
        <family val="2"/>
      </rPr>
      <t xml:space="preserve">は全員早番（</t>
    </r>
    <r>
      <rPr>
        <sz val="10"/>
        <rFont val="Arial"/>
        <family val="0"/>
        <charset val="1"/>
      </rPr>
      <t xml:space="preserve">11:00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20:00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9/2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は出勤者全員が遅番（</t>
    </r>
    <r>
      <rPr>
        <sz val="10"/>
        <rFont val="Arial"/>
        <family val="0"/>
        <charset val="1"/>
      </rPr>
      <t xml:space="preserve">12:00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21:00</t>
    </r>
    <r>
      <rPr>
        <sz val="10"/>
        <rFont val="Noto Sans CJK SC"/>
        <family val="2"/>
      </rPr>
      <t xml:space="preserve">）。平日は遅番が早番より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名多く、土日祝は早番が遅番より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名多い。個人の早番・遅番回数は全員で差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回以内（公平。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日をノーカウントにして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日以降で揃える）。同じ番を続けて切り替え回数を最少に。遅番の翌日に早番は入れない（休み明けか早番→遅番の向きで切り替え）</t>
    </r>
  </si>
  <si>
    <t xml:space="preserve">■ 使い方</t>
  </si>
  <si>
    <r>
      <rPr>
        <sz val="10"/>
        <rFont val="Noto Sans CJK SC"/>
        <family val="2"/>
      </rPr>
      <t xml:space="preserve">・希望休を入れるときは該当セルを「休」にし、同じ日の別のスタッフを「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」または「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」にして下段の出勤人数を保ってください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</si>
  <si>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A/B/</t>
    </r>
    <r>
      <rPr>
        <sz val="10"/>
        <rFont val="Noto Sans CJK SC"/>
        <family val="2"/>
      </rPr>
      <t xml:space="preserve">休 の入力に応じて右端の出勤・休日・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・土日祝休、下段の出勤人数が自動計算されます</t>
    </r>
  </si>
  <si>
    <r>
      <rPr>
        <b val="true"/>
        <sz val="14"/>
        <rFont val="Arial"/>
        <family val="0"/>
        <charset val="1"/>
      </rPr>
      <t xml:space="preserve">VISUAL LABO </t>
    </r>
    <r>
      <rPr>
        <b val="true"/>
        <sz val="14"/>
        <rFont val="Noto Sans CJK SC"/>
        <family val="2"/>
      </rPr>
      <t xml:space="preserve">新橋店　シフト表　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月</t>
    </r>
  </si>
  <si>
    <r>
      <rPr>
        <sz val="9"/>
        <color rgb="FF404040"/>
        <rFont val="Arial"/>
        <family val="0"/>
        <charset val="1"/>
      </rPr>
      <t xml:space="preserve">A</t>
    </r>
    <r>
      <rPr>
        <sz val="9"/>
        <color rgb="FF404040"/>
        <rFont val="Noto Sans CJK SC"/>
        <family val="2"/>
      </rPr>
      <t xml:space="preserve">＝早番 </t>
    </r>
    <r>
      <rPr>
        <sz val="9"/>
        <color rgb="FF404040"/>
        <rFont val="Arial"/>
        <family val="0"/>
        <charset val="1"/>
      </rPr>
      <t xml:space="preserve">11:00–20:00</t>
    </r>
    <r>
      <rPr>
        <sz val="9"/>
        <color rgb="FF404040"/>
        <rFont val="Noto Sans CJK SC"/>
        <family val="2"/>
      </rPr>
      <t xml:space="preserve">　</t>
    </r>
    <r>
      <rPr>
        <sz val="9"/>
        <color rgb="FF404040"/>
        <rFont val="Arial"/>
        <family val="0"/>
        <charset val="1"/>
      </rPr>
      <t xml:space="preserve">B</t>
    </r>
    <r>
      <rPr>
        <sz val="9"/>
        <color rgb="FF404040"/>
        <rFont val="Noto Sans CJK SC"/>
        <family val="2"/>
      </rPr>
      <t xml:space="preserve">＝遅番 </t>
    </r>
    <r>
      <rPr>
        <sz val="9"/>
        <color rgb="FF404040"/>
        <rFont val="Arial"/>
        <family val="0"/>
        <charset val="1"/>
      </rPr>
      <t xml:space="preserve">12:00–21:00</t>
    </r>
    <r>
      <rPr>
        <sz val="9"/>
        <color rgb="FF404040"/>
        <rFont val="Noto Sans CJK SC"/>
        <family val="2"/>
      </rPr>
      <t xml:space="preserve">　休＝公休　</t>
    </r>
    <r>
      <rPr>
        <sz val="9"/>
        <color rgb="FF404040"/>
        <rFont val="Arial"/>
        <family val="0"/>
        <charset val="1"/>
      </rPr>
      <t xml:space="preserve">×</t>
    </r>
    <r>
      <rPr>
        <sz val="9"/>
        <color rgb="FF404040"/>
        <rFont val="Noto Sans CJK SC"/>
        <family val="2"/>
      </rPr>
      <t xml:space="preserve">＝店休日　　出勤人数：全員出勤日以外は毎日 </t>
    </r>
    <r>
      <rPr>
        <sz val="9"/>
        <color rgb="FF404040"/>
        <rFont val="Arial"/>
        <family val="0"/>
        <charset val="1"/>
      </rPr>
      <t xml:space="preserve">6</t>
    </r>
    <r>
      <rPr>
        <sz val="9"/>
        <color rgb="FF404040"/>
        <rFont val="Noto Sans CJK SC"/>
        <family val="2"/>
      </rPr>
      <t xml:space="preserve">〜</t>
    </r>
    <r>
      <rPr>
        <sz val="9"/>
        <color rgb="FF404040"/>
        <rFont val="Arial"/>
        <family val="0"/>
        <charset val="1"/>
      </rPr>
      <t xml:space="preserve">7</t>
    </r>
    <r>
      <rPr>
        <sz val="9"/>
        <color rgb="FF404040"/>
        <rFont val="Noto Sans CJK SC"/>
        <family val="2"/>
      </rPr>
      <t xml:space="preserve">名（休み</t>
    </r>
    <r>
      <rPr>
        <sz val="9"/>
        <color rgb="FF404040"/>
        <rFont val="Arial"/>
        <family val="0"/>
        <charset val="1"/>
      </rPr>
      <t xml:space="preserve">2</t>
    </r>
    <r>
      <rPr>
        <sz val="9"/>
        <color rgb="FF404040"/>
        <rFont val="Noto Sans CJK SC"/>
        <family val="2"/>
      </rPr>
      <t xml:space="preserve">〜</t>
    </r>
    <r>
      <rPr>
        <sz val="9"/>
        <color rgb="FF404040"/>
        <rFont val="Arial"/>
        <family val="0"/>
        <charset val="1"/>
      </rPr>
      <t xml:space="preserve">3</t>
    </r>
    <r>
      <rPr>
        <sz val="9"/>
        <color rgb="FF404040"/>
        <rFont val="Noto Sans CJK SC"/>
        <family val="2"/>
      </rPr>
      <t xml:space="preserve">名。土日は休み</t>
    </r>
    <r>
      <rPr>
        <sz val="9"/>
        <color rgb="FF404040"/>
        <rFont val="Arial"/>
        <family val="0"/>
        <charset val="1"/>
      </rPr>
      <t xml:space="preserve">2</t>
    </r>
    <r>
      <rPr>
        <sz val="9"/>
        <color rgb="FF404040"/>
        <rFont val="Noto Sans CJK SC"/>
        <family val="2"/>
      </rPr>
      <t xml:space="preserve">名）　平日は遅番</t>
    </r>
    <r>
      <rPr>
        <sz val="9"/>
        <color rgb="FF404040"/>
        <rFont val="Arial"/>
        <family val="0"/>
        <charset val="1"/>
      </rPr>
      <t xml:space="preserve">B</t>
    </r>
    <r>
      <rPr>
        <sz val="9"/>
        <color rgb="FF404040"/>
        <rFont val="Noto Sans CJK SC"/>
        <family val="2"/>
      </rPr>
      <t xml:space="preserve">多め・土日は早番</t>
    </r>
    <r>
      <rPr>
        <sz val="9"/>
        <color rgb="FF404040"/>
        <rFont val="Arial"/>
        <family val="0"/>
        <charset val="1"/>
      </rPr>
      <t xml:space="preserve">A</t>
    </r>
    <r>
      <rPr>
        <sz val="9"/>
        <color rgb="FF404040"/>
        <rFont val="Noto Sans CJK SC"/>
        <family val="2"/>
      </rPr>
      <t xml:space="preserve">多め</t>
    </r>
  </si>
  <si>
    <r>
      <rPr>
        <sz val="9"/>
        <color rgb="FF404040"/>
        <rFont val="Noto Sans CJK SC"/>
        <family val="2"/>
      </rPr>
      <t xml:space="preserve">セルの </t>
    </r>
    <r>
      <rPr>
        <sz val="9"/>
        <color rgb="FF404040"/>
        <rFont val="Arial"/>
        <family val="0"/>
        <charset val="1"/>
      </rPr>
      <t xml:space="preserve">A/B/</t>
    </r>
    <r>
      <rPr>
        <sz val="9"/>
        <color rgb="FF404040"/>
        <rFont val="Noto Sans CJK SC"/>
        <family val="2"/>
      </rPr>
      <t xml:space="preserve">休 を変えると右端と下段の集計が自動で変わります。</t>
    </r>
  </si>
  <si>
    <t xml:space="preserve">氏名</t>
  </si>
  <si>
    <t xml:space="preserve">出勤</t>
  </si>
  <si>
    <t xml:space="preserve">休日</t>
  </si>
  <si>
    <t xml:space="preserve">A</t>
  </si>
  <si>
    <t xml:space="preserve">B</t>
  </si>
  <si>
    <t xml:space="preserve">土日祝休</t>
  </si>
  <si>
    <t xml:space="preserve">曜日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</si>
  <si>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</si>
  <si>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</si>
  <si>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</si>
  <si>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</si>
  <si>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</si>
  <si>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</si>
  <si>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月</t>
  </si>
  <si>
    <t xml:space="preserve">土日祝</t>
  </si>
  <si>
    <t xml:space="preserve">●</t>
  </si>
  <si>
    <t xml:space="preserve">阿部菜月</t>
  </si>
  <si>
    <t xml:space="preserve">休</t>
  </si>
  <si>
    <t xml:space="preserve">×</t>
  </si>
  <si>
    <t xml:space="preserve">大西多香子</t>
  </si>
  <si>
    <t xml:space="preserve">横森華香</t>
  </si>
  <si>
    <t xml:space="preserve">田中美緒</t>
  </si>
  <si>
    <t xml:space="preserve">石井楓香</t>
  </si>
  <si>
    <t xml:space="preserve">森田萌花</t>
  </si>
  <si>
    <t xml:space="preserve">坂本百合香</t>
  </si>
  <si>
    <t xml:space="preserve">天野心美</t>
  </si>
  <si>
    <t xml:space="preserve">森田ゆかり</t>
  </si>
  <si>
    <t xml:space="preserve">出勤人数</t>
  </si>
  <si>
    <r>
      <rPr>
        <sz val="9"/>
        <rFont val="Noto Sans CJK SC"/>
        <family val="2"/>
      </rPr>
      <t xml:space="preserve">　</t>
    </r>
    <r>
      <rPr>
        <sz val="9"/>
        <rFont val="Arial"/>
        <family val="0"/>
        <charset val="1"/>
      </rPr>
      <t xml:space="preserve">A </t>
    </r>
    <r>
      <rPr>
        <sz val="9"/>
        <rFont val="Noto Sans CJK SC"/>
        <family val="2"/>
      </rPr>
      <t xml:space="preserve">早番</t>
    </r>
  </si>
  <si>
    <r>
      <rPr>
        <sz val="9"/>
        <rFont val="Noto Sans CJK SC"/>
        <family val="2"/>
      </rPr>
      <t xml:space="preserve">　</t>
    </r>
    <r>
      <rPr>
        <sz val="9"/>
        <rFont val="Arial"/>
        <family val="0"/>
        <charset val="1"/>
      </rPr>
      <t xml:space="preserve">B </t>
    </r>
    <r>
      <rPr>
        <sz val="9"/>
        <rFont val="Noto Sans CJK SC"/>
        <family val="2"/>
      </rPr>
      <t xml:space="preserve">遅番</t>
    </r>
  </si>
  <si>
    <r>
      <rPr>
        <b val="true"/>
        <sz val="10"/>
        <color rgb="FF000000"/>
        <rFont val="Arial"/>
        <family val="0"/>
        <charset val="1"/>
      </rPr>
      <t xml:space="preserve">9/1</t>
    </r>
    <r>
      <rPr>
        <b val="true"/>
        <sz val="10"/>
        <color rgb="FF000000"/>
        <rFont val="Noto Sans CJK SC"/>
        <family val="2"/>
      </rPr>
      <t xml:space="preserve">　</t>
    </r>
    <r>
      <rPr>
        <b val="true"/>
        <sz val="10"/>
        <color rgb="FF000000"/>
        <rFont val="Arial"/>
        <family val="0"/>
        <charset val="1"/>
      </rPr>
      <t xml:space="preserve">10:00–18:00</t>
    </r>
    <r>
      <rPr>
        <b val="true"/>
        <sz val="10"/>
        <color rgb="FF000000"/>
        <rFont val="Noto Sans CJK SC"/>
        <family val="2"/>
      </rPr>
      <t xml:space="preserve">　入社式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</si>
  <si>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Noto Sans CJK SC"/>
        <family val="2"/>
      </rPr>
      <t xml:space="preserve">日　出勤者全員が遅番（</t>
    </r>
    <r>
      <rPr>
        <b val="true"/>
        <sz val="10"/>
        <color rgb="FF000000"/>
        <rFont val="Arial"/>
        <family val="0"/>
        <charset val="1"/>
      </rPr>
      <t xml:space="preserve">12:00–21:00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</si>
  <si>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b val="true"/>
        <sz val="14"/>
        <rFont val="Arial"/>
        <family val="0"/>
        <charset val="1"/>
      </rPr>
      <t xml:space="preserve">VISUAL LABO </t>
    </r>
    <r>
      <rPr>
        <b val="true"/>
        <sz val="14"/>
        <rFont val="Noto Sans CJK SC"/>
        <family val="2"/>
      </rPr>
      <t xml:space="preserve">新橋店　シフト表　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10</t>
    </r>
    <r>
      <rPr>
        <b val="true"/>
        <sz val="14"/>
        <rFont val="Noto Sans CJK SC"/>
        <family val="2"/>
      </rPr>
      <t xml:space="preserve">月</t>
    </r>
  </si>
  <si>
    <r>
      <rPr>
        <sz val="9"/>
        <color rgb="FF404040"/>
        <rFont val="Noto Sans CJK SC"/>
        <family val="2"/>
      </rPr>
      <t xml:space="preserve">■ この月：営業</t>
    </r>
    <r>
      <rPr>
        <sz val="9"/>
        <color rgb="FF404040"/>
        <rFont val="Arial"/>
        <family val="0"/>
        <charset val="1"/>
      </rPr>
      <t xml:space="preserve">30</t>
    </r>
    <r>
      <rPr>
        <sz val="9"/>
        <color rgb="FF404040"/>
        <rFont val="Noto Sans CJK SC"/>
        <family val="2"/>
      </rPr>
      <t xml:space="preserve">日／店休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日／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人あたり 休日</t>
    </r>
    <r>
      <rPr>
        <sz val="9"/>
        <color rgb="FF404040"/>
        <rFont val="Arial"/>
        <family val="0"/>
        <charset val="1"/>
      </rPr>
      <t xml:space="preserve">9</t>
    </r>
    <r>
      <rPr>
        <sz val="9"/>
        <color rgb="FF404040"/>
        <rFont val="Noto Sans CJK SC"/>
        <family val="2"/>
      </rPr>
      <t xml:space="preserve">日（店休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日＋公休</t>
    </r>
    <r>
      <rPr>
        <sz val="9"/>
        <color rgb="FF404040"/>
        <rFont val="Arial"/>
        <family val="0"/>
        <charset val="1"/>
      </rPr>
      <t xml:space="preserve">8</t>
    </r>
    <r>
      <rPr>
        <sz val="9"/>
        <color rgb="FF404040"/>
        <rFont val="Noto Sans CJK SC"/>
        <family val="2"/>
      </rPr>
      <t xml:space="preserve">日）・出勤</t>
    </r>
    <r>
      <rPr>
        <sz val="9"/>
        <color rgb="FF404040"/>
        <rFont val="Arial"/>
        <family val="0"/>
        <charset val="1"/>
      </rPr>
      <t xml:space="preserve">22</t>
    </r>
    <r>
      <rPr>
        <sz val="9"/>
        <color rgb="FF404040"/>
        <rFont val="Noto Sans CJK SC"/>
        <family val="2"/>
      </rPr>
      <t xml:space="preserve">日</t>
    </r>
  </si>
  <si>
    <t xml:space="preserve">■ まだ希望休は反映していません（届いたら組み直します）</t>
  </si>
  <si>
    <r>
      <rPr>
        <b val="true"/>
        <sz val="14"/>
        <rFont val="Arial"/>
        <family val="0"/>
        <charset val="1"/>
      </rPr>
      <t xml:space="preserve">VISUAL LABO </t>
    </r>
    <r>
      <rPr>
        <b val="true"/>
        <sz val="14"/>
        <rFont val="Noto Sans CJK SC"/>
        <family val="2"/>
      </rPr>
      <t xml:space="preserve">新橋店　シフト表　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11</t>
    </r>
    <r>
      <rPr>
        <b val="true"/>
        <sz val="14"/>
        <rFont val="Noto Sans CJK SC"/>
        <family val="2"/>
      </rPr>
      <t xml:space="preserve">月</t>
    </r>
  </si>
  <si>
    <r>
      <rPr>
        <sz val="9"/>
        <color rgb="FF404040"/>
        <rFont val="Noto Sans CJK SC"/>
        <family val="2"/>
      </rPr>
      <t xml:space="preserve">■ この月：営業</t>
    </r>
    <r>
      <rPr>
        <sz val="9"/>
        <color rgb="FF404040"/>
        <rFont val="Arial"/>
        <family val="0"/>
        <charset val="1"/>
      </rPr>
      <t xml:space="preserve">30</t>
    </r>
    <r>
      <rPr>
        <sz val="9"/>
        <color rgb="FF404040"/>
        <rFont val="Noto Sans CJK SC"/>
        <family val="2"/>
      </rPr>
      <t xml:space="preserve">日／店休</t>
    </r>
    <r>
      <rPr>
        <sz val="9"/>
        <color rgb="FF404040"/>
        <rFont val="Arial"/>
        <family val="0"/>
        <charset val="1"/>
      </rPr>
      <t xml:space="preserve">0</t>
    </r>
    <r>
      <rPr>
        <sz val="9"/>
        <color rgb="FF404040"/>
        <rFont val="Noto Sans CJK SC"/>
        <family val="2"/>
      </rPr>
      <t xml:space="preserve">日／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人あたり 休日</t>
    </r>
    <r>
      <rPr>
        <sz val="9"/>
        <color rgb="FF404040"/>
        <rFont val="Arial"/>
        <family val="0"/>
        <charset val="1"/>
      </rPr>
      <t xml:space="preserve">9</t>
    </r>
    <r>
      <rPr>
        <sz val="9"/>
        <color rgb="FF404040"/>
        <rFont val="Noto Sans CJK SC"/>
        <family val="2"/>
      </rPr>
      <t xml:space="preserve">日（店休</t>
    </r>
    <r>
      <rPr>
        <sz val="9"/>
        <color rgb="FF404040"/>
        <rFont val="Arial"/>
        <family val="0"/>
        <charset val="1"/>
      </rPr>
      <t xml:space="preserve">0</t>
    </r>
    <r>
      <rPr>
        <sz val="9"/>
        <color rgb="FF404040"/>
        <rFont val="Noto Sans CJK SC"/>
        <family val="2"/>
      </rPr>
      <t xml:space="preserve">日＋公休</t>
    </r>
    <r>
      <rPr>
        <sz val="9"/>
        <color rgb="FF404040"/>
        <rFont val="Arial"/>
        <family val="0"/>
        <charset val="1"/>
      </rPr>
      <t xml:space="preserve">9</t>
    </r>
    <r>
      <rPr>
        <sz val="9"/>
        <color rgb="FF404040"/>
        <rFont val="Noto Sans CJK SC"/>
        <family val="2"/>
      </rPr>
      <t xml:space="preserve">日）・出勤</t>
    </r>
    <r>
      <rPr>
        <sz val="9"/>
        <color rgb="FF404040"/>
        <rFont val="Arial"/>
        <family val="0"/>
        <charset val="1"/>
      </rPr>
      <t xml:space="preserve">21</t>
    </r>
    <r>
      <rPr>
        <sz val="9"/>
        <color rgb="FF404040"/>
        <rFont val="Noto Sans CJK SC"/>
        <family val="2"/>
      </rPr>
      <t xml:space="preserve">日</t>
    </r>
  </si>
  <si>
    <r>
      <rPr>
        <b val="true"/>
        <sz val="14"/>
        <rFont val="Arial"/>
        <family val="0"/>
        <charset val="1"/>
      </rPr>
      <t xml:space="preserve">VISUAL LABO </t>
    </r>
    <r>
      <rPr>
        <b val="true"/>
        <sz val="14"/>
        <rFont val="Noto Sans CJK SC"/>
        <family val="2"/>
      </rPr>
      <t xml:space="preserve">新橋店　シフト表　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Noto Sans CJK SC"/>
        <family val="2"/>
      </rPr>
      <t xml:space="preserve">月</t>
    </r>
  </si>
  <si>
    <r>
      <rPr>
        <sz val="9"/>
        <color rgb="FF404040"/>
        <rFont val="Noto Sans CJK SC"/>
        <family val="2"/>
      </rPr>
      <t xml:space="preserve">■ この月：営業</t>
    </r>
    <r>
      <rPr>
        <sz val="9"/>
        <color rgb="FF404040"/>
        <rFont val="Arial"/>
        <family val="0"/>
        <charset val="1"/>
      </rPr>
      <t xml:space="preserve">27</t>
    </r>
    <r>
      <rPr>
        <sz val="9"/>
        <color rgb="FF404040"/>
        <rFont val="Noto Sans CJK SC"/>
        <family val="2"/>
      </rPr>
      <t xml:space="preserve">日／店休</t>
    </r>
    <r>
      <rPr>
        <sz val="9"/>
        <color rgb="FF404040"/>
        <rFont val="Arial"/>
        <family val="0"/>
        <charset val="1"/>
      </rPr>
      <t xml:space="preserve">4</t>
    </r>
    <r>
      <rPr>
        <sz val="9"/>
        <color rgb="FF404040"/>
        <rFont val="Noto Sans CJK SC"/>
        <family val="2"/>
      </rPr>
      <t xml:space="preserve">日／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Noto Sans CJK SC"/>
        <family val="2"/>
      </rPr>
      <t xml:space="preserve">人あたり 休日</t>
    </r>
    <r>
      <rPr>
        <sz val="9"/>
        <color rgb="FF404040"/>
        <rFont val="Arial"/>
        <family val="0"/>
        <charset val="1"/>
      </rPr>
      <t xml:space="preserve">11</t>
    </r>
    <r>
      <rPr>
        <sz val="9"/>
        <color rgb="FF404040"/>
        <rFont val="Noto Sans CJK SC"/>
        <family val="2"/>
      </rPr>
      <t xml:space="preserve">日（店休</t>
    </r>
    <r>
      <rPr>
        <sz val="9"/>
        <color rgb="FF404040"/>
        <rFont val="Arial"/>
        <family val="0"/>
        <charset val="1"/>
      </rPr>
      <t xml:space="preserve">4</t>
    </r>
    <r>
      <rPr>
        <sz val="9"/>
        <color rgb="FF404040"/>
        <rFont val="Noto Sans CJK SC"/>
        <family val="2"/>
      </rPr>
      <t xml:space="preserve">日＋公休</t>
    </r>
    <r>
      <rPr>
        <sz val="9"/>
        <color rgb="FF404040"/>
        <rFont val="Arial"/>
        <family val="0"/>
        <charset val="1"/>
      </rPr>
      <t xml:space="preserve">7</t>
    </r>
    <r>
      <rPr>
        <sz val="9"/>
        <color rgb="FF404040"/>
        <rFont val="Noto Sans CJK SC"/>
        <family val="2"/>
      </rPr>
      <t xml:space="preserve">日）・出勤</t>
    </r>
    <r>
      <rPr>
        <sz val="9"/>
        <color rgb="FF404040"/>
        <rFont val="Arial"/>
        <family val="0"/>
        <charset val="1"/>
      </rPr>
      <t xml:space="preserve">20</t>
    </r>
    <r>
      <rPr>
        <sz val="9"/>
        <color rgb="FF404040"/>
        <rFont val="Noto Sans CJK SC"/>
        <family val="2"/>
      </rPr>
      <t xml:space="preserve">日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</si>
</sst>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40404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Noto Sans CJK SC"/>
      <family val="2"/>
    </font>
    <font>
      <sz val="8"/>
      <color rgb="FFC00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1F1F"/>
        <bgColor rgb="FF003300"/>
      </patternFill>
    </fill>
    <fill>
      <patternFill patternType="solid">
        <fgColor rgb="FFFFFF99"/>
        <bgColor rgb="FFF3E7C9"/>
      </patternFill>
    </fill>
    <fill>
      <patternFill patternType="solid">
        <fgColor rgb="FFFFF7E6"/>
        <bgColor rgb="FFF2F2F2"/>
      </patternFill>
    </fill>
    <fill>
      <patternFill patternType="solid">
        <fgColor rgb="FFDDEBF7"/>
        <bgColor rgb="FFDCE6F1"/>
      </patternFill>
    </fill>
    <fill>
      <patternFill patternType="solid">
        <fgColor rgb="FFFCE4E4"/>
        <bgColor rgb="FFF3E7C9"/>
      </patternFill>
    </fill>
    <fill>
      <patternFill patternType="solid">
        <fgColor rgb="FFA6A6A6"/>
        <bgColor rgb="FFBFBFBF"/>
      </patternFill>
    </fill>
    <fill>
      <patternFill patternType="solid">
        <fgColor rgb="FFF3E7C9"/>
        <bgColor rgb="FFFCE4E4"/>
      </patternFill>
    </fill>
    <fill>
      <patternFill patternType="solid">
        <fgColor rgb="FFDCE6F1"/>
        <bgColor rgb="FFDDEBF7"/>
      </patternFill>
    </fill>
    <fill>
      <patternFill patternType="solid">
        <fgColor rgb="FFF2F2F2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6"/>
      <rgbColor rgb="FFDDEBF7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3E7C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4" t="s">
        <v>6</v>
      </c>
      <c r="B4" s="5" t="n">
        <v>30</v>
      </c>
      <c r="C4" s="5" t="n">
        <v>31</v>
      </c>
      <c r="D4" s="5" t="n">
        <v>30</v>
      </c>
      <c r="E4" s="5" t="n">
        <v>31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6" t="s">
        <v>10</v>
      </c>
      <c r="E5" s="5" t="s">
        <v>11</v>
      </c>
    </row>
    <row r="6" customFormat="false" ht="15" hidden="false" customHeight="false" outlineLevel="0" collapsed="false">
      <c r="A6" s="4" t="s">
        <v>12</v>
      </c>
      <c r="B6" s="5" t="n">
        <v>25</v>
      </c>
      <c r="C6" s="5" t="n">
        <v>30</v>
      </c>
      <c r="D6" s="5" t="n">
        <v>30</v>
      </c>
      <c r="E6" s="5" t="n">
        <v>27</v>
      </c>
    </row>
    <row r="7" customFormat="false" ht="15" hidden="false" customHeight="false" outlineLevel="0" collapsed="false">
      <c r="A7" s="4" t="s">
        <v>13</v>
      </c>
      <c r="B7" s="5" t="n">
        <v>6</v>
      </c>
      <c r="C7" s="5" t="n">
        <v>9</v>
      </c>
      <c r="D7" s="5" t="n">
        <v>11</v>
      </c>
      <c r="E7" s="5" t="n">
        <v>8</v>
      </c>
    </row>
    <row r="8" customFormat="false" ht="15" hidden="false" customHeight="false" outlineLevel="0" collapsed="false">
      <c r="A8" s="7" t="s">
        <v>14</v>
      </c>
      <c r="B8" s="8" t="n">
        <v>10</v>
      </c>
      <c r="C8" s="8" t="n">
        <v>9</v>
      </c>
      <c r="D8" s="8" t="n">
        <v>9</v>
      </c>
      <c r="E8" s="8" t="n">
        <v>11</v>
      </c>
    </row>
    <row r="9" customFormat="false" ht="15" hidden="false" customHeight="false" outlineLevel="0" collapsed="false">
      <c r="A9" s="4" t="s">
        <v>15</v>
      </c>
      <c r="B9" s="5" t="n">
        <v>5</v>
      </c>
      <c r="C9" s="5" t="n">
        <v>1</v>
      </c>
      <c r="D9" s="5" t="n">
        <v>0</v>
      </c>
      <c r="E9" s="5" t="n">
        <v>4</v>
      </c>
    </row>
    <row r="10" customFormat="false" ht="15" hidden="false" customHeight="false" outlineLevel="0" collapsed="false">
      <c r="A10" s="4" t="s">
        <v>16</v>
      </c>
      <c r="B10" s="5" t="n">
        <v>5</v>
      </c>
      <c r="C10" s="5" t="n">
        <v>8</v>
      </c>
      <c r="D10" s="5" t="n">
        <v>9</v>
      </c>
      <c r="E10" s="5" t="n">
        <v>7</v>
      </c>
    </row>
    <row r="11" customFormat="false" ht="15" hidden="false" customHeight="false" outlineLevel="0" collapsed="false">
      <c r="A11" s="7" t="s">
        <v>17</v>
      </c>
      <c r="B11" s="5" t="n">
        <v>20</v>
      </c>
      <c r="C11" s="5" t="n">
        <v>22</v>
      </c>
      <c r="D11" s="5" t="n">
        <v>21</v>
      </c>
      <c r="E11" s="5" t="n">
        <v>20</v>
      </c>
    </row>
    <row r="12" customFormat="false" ht="15" hidden="false" customHeight="false" outlineLevel="0" collapsed="false">
      <c r="A12" s="7" t="s">
        <v>18</v>
      </c>
      <c r="B12" s="5" t="s">
        <v>19</v>
      </c>
      <c r="C12" s="5" t="s">
        <v>19</v>
      </c>
      <c r="D12" s="5" t="s">
        <v>19</v>
      </c>
      <c r="E12" s="5" t="s">
        <v>19</v>
      </c>
    </row>
    <row r="13" customFormat="false" ht="15" hidden="false" customHeight="false" outlineLevel="0" collapsed="false">
      <c r="A13" s="4" t="s">
        <v>20</v>
      </c>
      <c r="B13" s="6" t="s">
        <v>21</v>
      </c>
      <c r="C13" s="6" t="s">
        <v>22</v>
      </c>
      <c r="D13" s="6" t="s">
        <v>22</v>
      </c>
      <c r="E13" s="6" t="s">
        <v>22</v>
      </c>
    </row>
    <row r="14" customFormat="false" ht="15" hidden="false" customHeight="false" outlineLevel="0" collapsed="false">
      <c r="A14" s="4" t="s">
        <v>23</v>
      </c>
      <c r="B14" s="5" t="n">
        <v>9</v>
      </c>
      <c r="C14" s="5" t="n">
        <v>9</v>
      </c>
      <c r="D14" s="5" t="n">
        <v>9</v>
      </c>
      <c r="E14" s="5" t="n">
        <v>9</v>
      </c>
    </row>
    <row r="16" customFormat="false" ht="15" hidden="false" customHeight="false" outlineLevel="0" collapsed="false">
      <c r="A16" s="9" t="s">
        <v>24</v>
      </c>
    </row>
    <row r="17" customFormat="false" ht="15" hidden="false" customHeight="false" outlineLevel="0" collapsed="false">
      <c r="A17" s="10" t="s">
        <v>25</v>
      </c>
    </row>
    <row r="18" customFormat="false" ht="15" hidden="false" customHeight="false" outlineLevel="0" collapsed="false">
      <c r="A18" s="10" t="s">
        <v>26</v>
      </c>
    </row>
    <row r="19" customFormat="false" ht="15" hidden="false" customHeight="false" outlineLevel="0" collapsed="false">
      <c r="A19" s="10" t="s">
        <v>27</v>
      </c>
    </row>
    <row r="20" customFormat="false" ht="15" hidden="false" customHeight="false" outlineLevel="0" collapsed="false">
      <c r="A20" s="10" t="s">
        <v>28</v>
      </c>
    </row>
    <row r="21" customFormat="false" ht="15" hidden="false" customHeight="false" outlineLevel="0" collapsed="false">
      <c r="A21" s="10" t="s">
        <v>29</v>
      </c>
    </row>
    <row r="22" customFormat="false" ht="15" hidden="false" customHeight="false" outlineLevel="0" collapsed="false">
      <c r="A22" s="10"/>
    </row>
    <row r="23" customFormat="false" ht="15" hidden="false" customHeight="false" outlineLevel="0" collapsed="false">
      <c r="A23" s="9" t="s">
        <v>30</v>
      </c>
    </row>
    <row r="24" customFormat="false" ht="15" hidden="false" customHeight="false" outlineLevel="0" collapsed="false">
      <c r="A24" s="10" t="s">
        <v>31</v>
      </c>
    </row>
    <row r="25" customFormat="false" ht="15" hidden="false" customHeight="false" outlineLevel="0" collapsed="false">
      <c r="A25" s="10" t="s">
        <v>32</v>
      </c>
    </row>
    <row r="26" customFormat="false" ht="15" hidden="false" customHeight="false" outlineLevel="0" collapsed="false">
      <c r="A26" s="10" t="s">
        <v>33</v>
      </c>
    </row>
    <row r="27" customFormat="false" ht="15" hidden="false" customHeight="false" outlineLevel="0" collapsed="false">
      <c r="A27" s="10" t="s">
        <v>34</v>
      </c>
    </row>
    <row r="28" customFormat="false" ht="15" hidden="false" customHeight="false" outlineLevel="0" collapsed="false">
      <c r="A28" s="10" t="s">
        <v>35</v>
      </c>
    </row>
    <row r="29" customFormat="false" ht="15" hidden="false" customHeight="false" outlineLevel="0" collapsed="false">
      <c r="A29" s="10"/>
    </row>
    <row r="30" customFormat="false" ht="15" hidden="false" customHeight="false" outlineLevel="0" collapsed="false">
      <c r="A30" s="9" t="s">
        <v>36</v>
      </c>
    </row>
    <row r="31" customFormat="false" ht="15" hidden="false" customHeight="false" outlineLevel="0" collapsed="false">
      <c r="A31" s="10" t="s">
        <v>37</v>
      </c>
    </row>
    <row r="32" customFormat="false" ht="15" hidden="false" customHeight="false" outlineLevel="0" collapsed="false">
      <c r="A32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3.61"/>
    <col collapsed="false" customWidth="true" hidden="false" outlineLevel="0" max="35" min="32" style="0" width="6.51"/>
    <col collapsed="false" customWidth="true" hidden="false" outlineLevel="0" max="36" min="36" style="0" width="8"/>
  </cols>
  <sheetData>
    <row r="1" customFormat="false" ht="21.6" hidden="false" customHeight="false" outlineLevel="0" collapsed="false">
      <c r="A1" s="1" t="s">
        <v>39</v>
      </c>
    </row>
    <row r="2" customFormat="false" ht="15" hidden="false" customHeight="false" outlineLevel="0" collapsed="false">
      <c r="A2" s="11" t="s">
        <v>40</v>
      </c>
    </row>
    <row r="3" customFormat="false" ht="15" hidden="false" customHeight="false" outlineLevel="0" collapsed="false">
      <c r="A3" s="12" t="s">
        <v>41</v>
      </c>
    </row>
    <row r="4" customFormat="false" ht="15" hidden="false" customHeight="false" outlineLevel="0" collapsed="false">
      <c r="A4" s="13" t="s">
        <v>42</v>
      </c>
      <c r="B4" s="13" t="n">
        <v>1</v>
      </c>
      <c r="C4" s="13" t="n">
        <v>2</v>
      </c>
      <c r="D4" s="13" t="n">
        <v>3</v>
      </c>
      <c r="E4" s="13" t="n">
        <v>4</v>
      </c>
      <c r="F4" s="13" t="n">
        <v>5</v>
      </c>
      <c r="G4" s="13" t="n">
        <v>6</v>
      </c>
      <c r="H4" s="13" t="n">
        <v>7</v>
      </c>
      <c r="I4" s="13" t="n">
        <v>8</v>
      </c>
      <c r="J4" s="13" t="n">
        <v>9</v>
      </c>
      <c r="K4" s="13" t="n">
        <v>10</v>
      </c>
      <c r="L4" s="13" t="n">
        <v>11</v>
      </c>
      <c r="M4" s="13" t="n">
        <v>12</v>
      </c>
      <c r="N4" s="13" t="n">
        <v>13</v>
      </c>
      <c r="O4" s="13" t="n">
        <v>14</v>
      </c>
      <c r="P4" s="13" t="n">
        <v>15</v>
      </c>
      <c r="Q4" s="13" t="n">
        <v>16</v>
      </c>
      <c r="R4" s="13" t="n">
        <v>17</v>
      </c>
      <c r="S4" s="13" t="n">
        <v>18</v>
      </c>
      <c r="T4" s="13" t="n">
        <v>19</v>
      </c>
      <c r="U4" s="13" t="n">
        <v>20</v>
      </c>
      <c r="V4" s="13" t="n">
        <v>21</v>
      </c>
      <c r="W4" s="13" t="n">
        <v>22</v>
      </c>
      <c r="X4" s="13" t="n">
        <v>23</v>
      </c>
      <c r="Y4" s="13" t="n">
        <v>24</v>
      </c>
      <c r="Z4" s="13" t="n">
        <v>25</v>
      </c>
      <c r="AA4" s="13" t="n">
        <v>26</v>
      </c>
      <c r="AB4" s="13" t="n">
        <v>27</v>
      </c>
      <c r="AC4" s="13" t="n">
        <v>28</v>
      </c>
      <c r="AD4" s="13" t="n">
        <v>29</v>
      </c>
      <c r="AE4" s="13" t="n">
        <v>30</v>
      </c>
      <c r="AF4" s="13" t="s">
        <v>43</v>
      </c>
      <c r="AG4" s="13" t="s">
        <v>44</v>
      </c>
      <c r="AH4" s="14" t="s">
        <v>45</v>
      </c>
      <c r="AI4" s="14" t="s">
        <v>46</v>
      </c>
      <c r="AJ4" s="13" t="s">
        <v>47</v>
      </c>
    </row>
    <row r="5" customFormat="false" ht="15" hidden="false" customHeight="false" outlineLevel="0" collapsed="false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6" t="s">
        <v>53</v>
      </c>
      <c r="G5" s="17" t="s">
        <v>54</v>
      </c>
      <c r="H5" s="15" t="s">
        <v>55</v>
      </c>
      <c r="I5" s="15" t="s">
        <v>49</v>
      </c>
      <c r="J5" s="15" t="s">
        <v>50</v>
      </c>
      <c r="K5" s="15" t="s">
        <v>51</v>
      </c>
      <c r="L5" s="15" t="s">
        <v>52</v>
      </c>
      <c r="M5" s="16" t="s">
        <v>53</v>
      </c>
      <c r="N5" s="17" t="s">
        <v>54</v>
      </c>
      <c r="O5" s="15" t="s">
        <v>55</v>
      </c>
      <c r="P5" s="15" t="s">
        <v>49</v>
      </c>
      <c r="Q5" s="15" t="s">
        <v>50</v>
      </c>
      <c r="R5" s="15" t="s">
        <v>51</v>
      </c>
      <c r="S5" s="15" t="s">
        <v>52</v>
      </c>
      <c r="T5" s="18" t="s">
        <v>53</v>
      </c>
      <c r="U5" s="18" t="s">
        <v>54</v>
      </c>
      <c r="V5" s="18" t="s">
        <v>55</v>
      </c>
      <c r="W5" s="18" t="s">
        <v>49</v>
      </c>
      <c r="X5" s="18" t="s">
        <v>50</v>
      </c>
      <c r="Y5" s="15" t="s">
        <v>51</v>
      </c>
      <c r="Z5" s="15" t="s">
        <v>52</v>
      </c>
      <c r="AA5" s="16" t="s">
        <v>53</v>
      </c>
      <c r="AB5" s="17" t="s">
        <v>54</v>
      </c>
      <c r="AC5" s="15" t="s">
        <v>55</v>
      </c>
      <c r="AD5" s="15" t="s">
        <v>49</v>
      </c>
      <c r="AE5" s="15" t="s">
        <v>50</v>
      </c>
      <c r="AF5" s="19"/>
      <c r="AG5" s="19"/>
      <c r="AH5" s="19"/>
      <c r="AI5" s="19"/>
      <c r="AJ5" s="19"/>
    </row>
    <row r="6" customFormat="false" ht="15" hidden="false" customHeight="false" outlineLevel="0" collapsed="false">
      <c r="A6" s="15" t="s">
        <v>56</v>
      </c>
      <c r="B6" s="20"/>
      <c r="C6" s="20"/>
      <c r="D6" s="20"/>
      <c r="E6" s="20"/>
      <c r="F6" s="21" t="s">
        <v>57</v>
      </c>
      <c r="G6" s="22" t="s">
        <v>57</v>
      </c>
      <c r="H6" s="20"/>
      <c r="I6" s="20"/>
      <c r="J6" s="20"/>
      <c r="K6" s="20"/>
      <c r="L6" s="20"/>
      <c r="M6" s="21" t="s">
        <v>57</v>
      </c>
      <c r="N6" s="22" t="s">
        <v>57</v>
      </c>
      <c r="O6" s="20"/>
      <c r="P6" s="20"/>
      <c r="Q6" s="20"/>
      <c r="R6" s="20"/>
      <c r="S6" s="20"/>
      <c r="T6" s="23" t="s">
        <v>57</v>
      </c>
      <c r="U6" s="23" t="s">
        <v>57</v>
      </c>
      <c r="V6" s="23" t="s">
        <v>57</v>
      </c>
      <c r="W6" s="23" t="s">
        <v>57</v>
      </c>
      <c r="X6" s="23" t="s">
        <v>57</v>
      </c>
      <c r="Y6" s="20"/>
      <c r="Z6" s="20"/>
      <c r="AA6" s="21" t="s">
        <v>57</v>
      </c>
      <c r="AB6" s="22" t="s">
        <v>57</v>
      </c>
      <c r="AC6" s="20"/>
      <c r="AD6" s="20"/>
      <c r="AE6" s="20"/>
      <c r="AF6" s="19"/>
      <c r="AG6" s="19"/>
      <c r="AH6" s="19"/>
      <c r="AI6" s="19"/>
      <c r="AJ6" s="19"/>
    </row>
    <row r="7" customFormat="false" ht="19.5" hidden="false" customHeight="true" outlineLevel="0" collapsed="false">
      <c r="A7" s="24" t="s">
        <v>58</v>
      </c>
      <c r="B7" s="25" t="s">
        <v>45</v>
      </c>
      <c r="C7" s="26" t="s">
        <v>46</v>
      </c>
      <c r="D7" s="27" t="s">
        <v>59</v>
      </c>
      <c r="E7" s="26" t="s">
        <v>46</v>
      </c>
      <c r="F7" s="26" t="s">
        <v>46</v>
      </c>
      <c r="G7" s="25" t="s">
        <v>45</v>
      </c>
      <c r="H7" s="26" t="s">
        <v>46</v>
      </c>
      <c r="I7" s="27" t="s">
        <v>59</v>
      </c>
      <c r="J7" s="26" t="s">
        <v>46</v>
      </c>
      <c r="K7" s="26" t="s">
        <v>46</v>
      </c>
      <c r="L7" s="26" t="s">
        <v>46</v>
      </c>
      <c r="M7" s="27" t="s">
        <v>59</v>
      </c>
      <c r="N7" s="25" t="s">
        <v>45</v>
      </c>
      <c r="O7" s="27" t="s">
        <v>59</v>
      </c>
      <c r="P7" s="25" t="s">
        <v>45</v>
      </c>
      <c r="Q7" s="25" t="s">
        <v>45</v>
      </c>
      <c r="R7" s="25" t="s">
        <v>45</v>
      </c>
      <c r="S7" s="25" t="s">
        <v>45</v>
      </c>
      <c r="T7" s="28" t="s">
        <v>60</v>
      </c>
      <c r="U7" s="28" t="s">
        <v>60</v>
      </c>
      <c r="V7" s="28" t="s">
        <v>60</v>
      </c>
      <c r="W7" s="28" t="s">
        <v>60</v>
      </c>
      <c r="X7" s="28" t="s">
        <v>60</v>
      </c>
      <c r="Y7" s="26" t="s">
        <v>46</v>
      </c>
      <c r="Z7" s="26" t="s">
        <v>46</v>
      </c>
      <c r="AA7" s="27" t="s">
        <v>59</v>
      </c>
      <c r="AB7" s="25" t="s">
        <v>45</v>
      </c>
      <c r="AC7" s="26" t="s">
        <v>46</v>
      </c>
      <c r="AD7" s="26" t="s">
        <v>46</v>
      </c>
      <c r="AE7" s="26" t="s">
        <v>46</v>
      </c>
      <c r="AF7" s="29" t="n">
        <f aca="false">COUNTIF($B7:$AE7,"A")+COUNTIF($B7:$AE7,"B")+COUNTIF($B7:$AE7,"式")</f>
        <v>20</v>
      </c>
      <c r="AG7" s="29" t="n">
        <f aca="false">COUNTIF($B7:$AE7,"休")+COUNTIF($B7:$AE7,"×")</f>
        <v>10</v>
      </c>
      <c r="AH7" s="29" t="n">
        <f aca="false">COUNTIF($B7:$AE7,"A")</f>
        <v>8</v>
      </c>
      <c r="AI7" s="29" t="n">
        <f aca="false">COUNTIF($B7:$AE7,"B")</f>
        <v>12</v>
      </c>
      <c r="AJ7" s="29" t="n">
        <f aca="false">SUMPRODUCT(($B$6:$AE$6="●")*($B7:$AE7="休"))</f>
        <v>2</v>
      </c>
    </row>
    <row r="8" customFormat="false" ht="19.5" hidden="false" customHeight="true" outlineLevel="0" collapsed="false">
      <c r="A8" s="24" t="s">
        <v>61</v>
      </c>
      <c r="B8" s="25" t="s">
        <v>45</v>
      </c>
      <c r="C8" s="26" t="s">
        <v>46</v>
      </c>
      <c r="D8" s="26" t="s">
        <v>46</v>
      </c>
      <c r="E8" s="27" t="s">
        <v>59</v>
      </c>
      <c r="F8" s="26" t="s">
        <v>46</v>
      </c>
      <c r="G8" s="25" t="s">
        <v>45</v>
      </c>
      <c r="H8" s="25" t="s">
        <v>45</v>
      </c>
      <c r="I8" s="27" t="s">
        <v>59</v>
      </c>
      <c r="J8" s="25" t="s">
        <v>45</v>
      </c>
      <c r="K8" s="26" t="s">
        <v>46</v>
      </c>
      <c r="L8" s="27" t="s">
        <v>59</v>
      </c>
      <c r="M8" s="26" t="s">
        <v>46</v>
      </c>
      <c r="N8" s="26" t="s">
        <v>46</v>
      </c>
      <c r="O8" s="27" t="s">
        <v>59</v>
      </c>
      <c r="P8" s="26" t="s">
        <v>46</v>
      </c>
      <c r="Q8" s="26" t="s">
        <v>46</v>
      </c>
      <c r="R8" s="26" t="s">
        <v>46</v>
      </c>
      <c r="S8" s="26" t="s">
        <v>46</v>
      </c>
      <c r="T8" s="28" t="s">
        <v>60</v>
      </c>
      <c r="U8" s="28" t="s">
        <v>60</v>
      </c>
      <c r="V8" s="28" t="s">
        <v>60</v>
      </c>
      <c r="W8" s="28" t="s">
        <v>60</v>
      </c>
      <c r="X8" s="28" t="s">
        <v>60</v>
      </c>
      <c r="Y8" s="26" t="s">
        <v>46</v>
      </c>
      <c r="Z8" s="25" t="s">
        <v>45</v>
      </c>
      <c r="AA8" s="25" t="s">
        <v>45</v>
      </c>
      <c r="AB8" s="26" t="s">
        <v>46</v>
      </c>
      <c r="AC8" s="27" t="s">
        <v>59</v>
      </c>
      <c r="AD8" s="25" t="s">
        <v>45</v>
      </c>
      <c r="AE8" s="25" t="s">
        <v>45</v>
      </c>
      <c r="AF8" s="29" t="n">
        <f aca="false">COUNTIF($B8:$AE8,"A")+COUNTIF($B8:$AE8,"B")+COUNTIF($B8:$AE8,"式")</f>
        <v>20</v>
      </c>
      <c r="AG8" s="29" t="n">
        <f aca="false">COUNTIF($B8:$AE8,"休")+COUNTIF($B8:$AE8,"×")</f>
        <v>10</v>
      </c>
      <c r="AH8" s="29" t="n">
        <f aca="false">COUNTIF($B8:$AE8,"A")</f>
        <v>8</v>
      </c>
      <c r="AI8" s="29" t="n">
        <f aca="false">COUNTIF($B8:$AE8,"B")</f>
        <v>12</v>
      </c>
      <c r="AJ8" s="29" t="n">
        <f aca="false">SUMPRODUCT(($B$6:$AE$6="●")*($B8:$AE8="休"))</f>
        <v>0</v>
      </c>
    </row>
    <row r="9" customFormat="false" ht="19.5" hidden="false" customHeight="true" outlineLevel="0" collapsed="false">
      <c r="A9" s="24" t="s">
        <v>62</v>
      </c>
      <c r="B9" s="25" t="s">
        <v>45</v>
      </c>
      <c r="C9" s="27" t="s">
        <v>59</v>
      </c>
      <c r="D9" s="26" t="s">
        <v>46</v>
      </c>
      <c r="E9" s="26" t="s">
        <v>46</v>
      </c>
      <c r="F9" s="26" t="s">
        <v>46</v>
      </c>
      <c r="G9" s="27" t="s">
        <v>59</v>
      </c>
      <c r="H9" s="26" t="s">
        <v>46</v>
      </c>
      <c r="I9" s="26" t="s">
        <v>46</v>
      </c>
      <c r="J9" s="26" t="s">
        <v>46</v>
      </c>
      <c r="K9" s="27" t="s">
        <v>59</v>
      </c>
      <c r="L9" s="25" t="s">
        <v>45</v>
      </c>
      <c r="M9" s="25" t="s">
        <v>45</v>
      </c>
      <c r="N9" s="25" t="s">
        <v>45</v>
      </c>
      <c r="O9" s="27" t="s">
        <v>59</v>
      </c>
      <c r="P9" s="25" t="s">
        <v>45</v>
      </c>
      <c r="Q9" s="25" t="s">
        <v>45</v>
      </c>
      <c r="R9" s="26" t="s">
        <v>46</v>
      </c>
      <c r="S9" s="26" t="s">
        <v>46</v>
      </c>
      <c r="T9" s="28" t="s">
        <v>60</v>
      </c>
      <c r="U9" s="28" t="s">
        <v>60</v>
      </c>
      <c r="V9" s="28" t="s">
        <v>60</v>
      </c>
      <c r="W9" s="28" t="s">
        <v>60</v>
      </c>
      <c r="X9" s="28" t="s">
        <v>60</v>
      </c>
      <c r="Y9" s="25" t="s">
        <v>45</v>
      </c>
      <c r="Z9" s="25" t="s">
        <v>45</v>
      </c>
      <c r="AA9" s="25" t="s">
        <v>45</v>
      </c>
      <c r="AB9" s="27" t="s">
        <v>59</v>
      </c>
      <c r="AC9" s="26" t="s">
        <v>46</v>
      </c>
      <c r="AD9" s="26" t="s">
        <v>46</v>
      </c>
      <c r="AE9" s="26" t="s">
        <v>46</v>
      </c>
      <c r="AF9" s="29" t="n">
        <f aca="false">COUNTIF($B9:$AE9,"A")+COUNTIF($B9:$AE9,"B")+COUNTIF($B9:$AE9,"式")</f>
        <v>20</v>
      </c>
      <c r="AG9" s="29" t="n">
        <f aca="false">COUNTIF($B9:$AE9,"休")+COUNTIF($B9:$AE9,"×")</f>
        <v>10</v>
      </c>
      <c r="AH9" s="29" t="n">
        <f aca="false">COUNTIF($B9:$AE9,"A")</f>
        <v>9</v>
      </c>
      <c r="AI9" s="29" t="n">
        <f aca="false">COUNTIF($B9:$AE9,"B")</f>
        <v>11</v>
      </c>
      <c r="AJ9" s="29" t="n">
        <f aca="false">SUMPRODUCT(($B$6:$AE$6="●")*($B9:$AE9="休"))</f>
        <v>2</v>
      </c>
    </row>
    <row r="10" customFormat="false" ht="19.5" hidden="false" customHeight="true" outlineLevel="0" collapsed="false">
      <c r="A10" s="24" t="s">
        <v>63</v>
      </c>
      <c r="B10" s="25" t="s">
        <v>45</v>
      </c>
      <c r="C10" s="27" t="s">
        <v>59</v>
      </c>
      <c r="D10" s="26" t="s">
        <v>46</v>
      </c>
      <c r="E10" s="26" t="s">
        <v>46</v>
      </c>
      <c r="F10" s="26" t="s">
        <v>46</v>
      </c>
      <c r="G10" s="27" t="s">
        <v>59</v>
      </c>
      <c r="H10" s="26" t="s">
        <v>46</v>
      </c>
      <c r="I10" s="26" t="s">
        <v>46</v>
      </c>
      <c r="J10" s="27" t="s">
        <v>59</v>
      </c>
      <c r="K10" s="25" t="s">
        <v>45</v>
      </c>
      <c r="L10" s="25" t="s">
        <v>45</v>
      </c>
      <c r="M10" s="25" t="s">
        <v>45</v>
      </c>
      <c r="N10" s="27" t="s">
        <v>59</v>
      </c>
      <c r="O10" s="26" t="s">
        <v>46</v>
      </c>
      <c r="P10" s="26" t="s">
        <v>46</v>
      </c>
      <c r="Q10" s="26" t="s">
        <v>46</v>
      </c>
      <c r="R10" s="25" t="s">
        <v>45</v>
      </c>
      <c r="S10" s="25" t="s">
        <v>45</v>
      </c>
      <c r="T10" s="28" t="s">
        <v>60</v>
      </c>
      <c r="U10" s="28" t="s">
        <v>60</v>
      </c>
      <c r="V10" s="28" t="s">
        <v>60</v>
      </c>
      <c r="W10" s="28" t="s">
        <v>60</v>
      </c>
      <c r="X10" s="28" t="s">
        <v>60</v>
      </c>
      <c r="Y10" s="25" t="s">
        <v>45</v>
      </c>
      <c r="Z10" s="25" t="s">
        <v>45</v>
      </c>
      <c r="AA10" s="25" t="s">
        <v>45</v>
      </c>
      <c r="AB10" s="27" t="s">
        <v>59</v>
      </c>
      <c r="AC10" s="26" t="s">
        <v>46</v>
      </c>
      <c r="AD10" s="26" t="s">
        <v>46</v>
      </c>
      <c r="AE10" s="26" t="s">
        <v>46</v>
      </c>
      <c r="AF10" s="29" t="n">
        <f aca="false">COUNTIF($B10:$AE10,"A")+COUNTIF($B10:$AE10,"B")+COUNTIF($B10:$AE10,"式")</f>
        <v>20</v>
      </c>
      <c r="AG10" s="29" t="n">
        <f aca="false">COUNTIF($B10:$AE10,"休")+COUNTIF($B10:$AE10,"×")</f>
        <v>10</v>
      </c>
      <c r="AH10" s="29" t="n">
        <f aca="false">COUNTIF($B10:$AE10,"A")</f>
        <v>9</v>
      </c>
      <c r="AI10" s="29" t="n">
        <f aca="false">COUNTIF($B10:$AE10,"B")</f>
        <v>11</v>
      </c>
      <c r="AJ10" s="29" t="n">
        <f aca="false">SUMPRODUCT(($B$6:$AE$6="●")*($B10:$AE10="休"))</f>
        <v>3</v>
      </c>
    </row>
    <row r="11" customFormat="false" ht="19.5" hidden="false" customHeight="true" outlineLevel="0" collapsed="false">
      <c r="A11" s="24" t="s">
        <v>64</v>
      </c>
      <c r="B11" s="25" t="s">
        <v>45</v>
      </c>
      <c r="C11" s="26" t="s">
        <v>46</v>
      </c>
      <c r="D11" s="26" t="s">
        <v>46</v>
      </c>
      <c r="E11" s="27" t="s">
        <v>59</v>
      </c>
      <c r="F11" s="26" t="s">
        <v>46</v>
      </c>
      <c r="G11" s="25" t="s">
        <v>45</v>
      </c>
      <c r="H11" s="27" t="s">
        <v>59</v>
      </c>
      <c r="I11" s="25" t="s">
        <v>45</v>
      </c>
      <c r="J11" s="25" t="s">
        <v>45</v>
      </c>
      <c r="K11" s="27" t="s">
        <v>59</v>
      </c>
      <c r="L11" s="26" t="s">
        <v>46</v>
      </c>
      <c r="M11" s="26" t="s">
        <v>46</v>
      </c>
      <c r="N11" s="27" t="s">
        <v>59</v>
      </c>
      <c r="O11" s="26" t="s">
        <v>46</v>
      </c>
      <c r="P11" s="26" t="s">
        <v>46</v>
      </c>
      <c r="Q11" s="26" t="s">
        <v>46</v>
      </c>
      <c r="R11" s="26" t="s">
        <v>46</v>
      </c>
      <c r="S11" s="26" t="s">
        <v>46</v>
      </c>
      <c r="T11" s="28" t="s">
        <v>60</v>
      </c>
      <c r="U11" s="28" t="s">
        <v>60</v>
      </c>
      <c r="V11" s="28" t="s">
        <v>60</v>
      </c>
      <c r="W11" s="28" t="s">
        <v>60</v>
      </c>
      <c r="X11" s="28" t="s">
        <v>60</v>
      </c>
      <c r="Y11" s="26" t="s">
        <v>46</v>
      </c>
      <c r="Z11" s="26" t="s">
        <v>46</v>
      </c>
      <c r="AA11" s="27" t="s">
        <v>59</v>
      </c>
      <c r="AB11" s="25" t="s">
        <v>45</v>
      </c>
      <c r="AC11" s="25" t="s">
        <v>45</v>
      </c>
      <c r="AD11" s="25" t="s">
        <v>45</v>
      </c>
      <c r="AE11" s="25" t="s">
        <v>45</v>
      </c>
      <c r="AF11" s="29" t="n">
        <f aca="false">COUNTIF($B11:$AE11,"A")+COUNTIF($B11:$AE11,"B")+COUNTIF($B11:$AE11,"式")</f>
        <v>20</v>
      </c>
      <c r="AG11" s="29" t="n">
        <f aca="false">COUNTIF($B11:$AE11,"休")+COUNTIF($B11:$AE11,"×")</f>
        <v>10</v>
      </c>
      <c r="AH11" s="29" t="n">
        <f aca="false">COUNTIF($B11:$AE11,"A")</f>
        <v>8</v>
      </c>
      <c r="AI11" s="29" t="n">
        <f aca="false">COUNTIF($B11:$AE11,"B")</f>
        <v>12</v>
      </c>
      <c r="AJ11" s="29" t="n">
        <f aca="false">SUMPRODUCT(($B$6:$AE$6="●")*($B11:$AE11="休"))</f>
        <v>2</v>
      </c>
    </row>
    <row r="12" customFormat="false" ht="19.5" hidden="false" customHeight="true" outlineLevel="0" collapsed="false">
      <c r="A12" s="24" t="s">
        <v>65</v>
      </c>
      <c r="B12" s="25" t="s">
        <v>45</v>
      </c>
      <c r="C12" s="26" t="s">
        <v>46</v>
      </c>
      <c r="D12" s="26" t="s">
        <v>46</v>
      </c>
      <c r="E12" s="27" t="s">
        <v>59</v>
      </c>
      <c r="F12" s="26" t="s">
        <v>46</v>
      </c>
      <c r="G12" s="25" t="s">
        <v>45</v>
      </c>
      <c r="H12" s="25" t="s">
        <v>45</v>
      </c>
      <c r="I12" s="27" t="s">
        <v>59</v>
      </c>
      <c r="J12" s="25" t="s">
        <v>45</v>
      </c>
      <c r="K12" s="25" t="s">
        <v>45</v>
      </c>
      <c r="L12" s="26" t="s">
        <v>46</v>
      </c>
      <c r="M12" s="27" t="s">
        <v>59</v>
      </c>
      <c r="N12" s="26" t="s">
        <v>46</v>
      </c>
      <c r="O12" s="26" t="s">
        <v>46</v>
      </c>
      <c r="P12" s="27" t="s">
        <v>59</v>
      </c>
      <c r="Q12" s="26" t="s">
        <v>46</v>
      </c>
      <c r="R12" s="26" t="s">
        <v>46</v>
      </c>
      <c r="S12" s="26" t="s">
        <v>46</v>
      </c>
      <c r="T12" s="28" t="s">
        <v>60</v>
      </c>
      <c r="U12" s="28" t="s">
        <v>60</v>
      </c>
      <c r="V12" s="28" t="s">
        <v>60</v>
      </c>
      <c r="W12" s="28" t="s">
        <v>60</v>
      </c>
      <c r="X12" s="28" t="s">
        <v>60</v>
      </c>
      <c r="Y12" s="25" t="s">
        <v>45</v>
      </c>
      <c r="Z12" s="25" t="s">
        <v>45</v>
      </c>
      <c r="AA12" s="25" t="s">
        <v>45</v>
      </c>
      <c r="AB12" s="25" t="s">
        <v>45</v>
      </c>
      <c r="AC12" s="27" t="s">
        <v>59</v>
      </c>
      <c r="AD12" s="26" t="s">
        <v>46</v>
      </c>
      <c r="AE12" s="26" t="s">
        <v>46</v>
      </c>
      <c r="AF12" s="29" t="n">
        <f aca="false">COUNTIF($B12:$AE12,"A")+COUNTIF($B12:$AE12,"B")+COUNTIF($B12:$AE12,"式")</f>
        <v>20</v>
      </c>
      <c r="AG12" s="29" t="n">
        <f aca="false">COUNTIF($B12:$AE12,"休")+COUNTIF($B12:$AE12,"×")</f>
        <v>10</v>
      </c>
      <c r="AH12" s="29" t="n">
        <f aca="false">COUNTIF($B12:$AE12,"A")</f>
        <v>9</v>
      </c>
      <c r="AI12" s="29" t="n">
        <f aca="false">COUNTIF($B12:$AE12,"B")</f>
        <v>11</v>
      </c>
      <c r="AJ12" s="29" t="n">
        <f aca="false">SUMPRODUCT(($B$6:$AE$6="●")*($B12:$AE12="休"))</f>
        <v>1</v>
      </c>
    </row>
    <row r="13" customFormat="false" ht="19.5" hidden="false" customHeight="true" outlineLevel="0" collapsed="false">
      <c r="A13" s="24" t="s">
        <v>66</v>
      </c>
      <c r="B13" s="25" t="s">
        <v>45</v>
      </c>
      <c r="C13" s="27" t="s">
        <v>59</v>
      </c>
      <c r="D13" s="26" t="s">
        <v>46</v>
      </c>
      <c r="E13" s="26" t="s">
        <v>46</v>
      </c>
      <c r="F13" s="26" t="s">
        <v>46</v>
      </c>
      <c r="G13" s="26" t="s">
        <v>46</v>
      </c>
      <c r="H13" s="27" t="s">
        <v>59</v>
      </c>
      <c r="I13" s="25" t="s">
        <v>45</v>
      </c>
      <c r="J13" s="26" t="s">
        <v>46</v>
      </c>
      <c r="K13" s="26" t="s">
        <v>46</v>
      </c>
      <c r="L13" s="26" t="s">
        <v>46</v>
      </c>
      <c r="M13" s="27" t="s">
        <v>59</v>
      </c>
      <c r="N13" s="25" t="s">
        <v>45</v>
      </c>
      <c r="O13" s="25" t="s">
        <v>45</v>
      </c>
      <c r="P13" s="27" t="s">
        <v>59</v>
      </c>
      <c r="Q13" s="25" t="s">
        <v>45</v>
      </c>
      <c r="R13" s="25" t="s">
        <v>45</v>
      </c>
      <c r="S13" s="25" t="s">
        <v>45</v>
      </c>
      <c r="T13" s="28" t="s">
        <v>60</v>
      </c>
      <c r="U13" s="28" t="s">
        <v>60</v>
      </c>
      <c r="V13" s="28" t="s">
        <v>60</v>
      </c>
      <c r="W13" s="28" t="s">
        <v>60</v>
      </c>
      <c r="X13" s="28" t="s">
        <v>60</v>
      </c>
      <c r="Y13" s="26" t="s">
        <v>46</v>
      </c>
      <c r="Z13" s="26" t="s">
        <v>46</v>
      </c>
      <c r="AA13" s="26" t="s">
        <v>46</v>
      </c>
      <c r="AB13" s="26" t="s">
        <v>46</v>
      </c>
      <c r="AC13" s="27" t="s">
        <v>59</v>
      </c>
      <c r="AD13" s="25" t="s">
        <v>45</v>
      </c>
      <c r="AE13" s="25" t="s">
        <v>45</v>
      </c>
      <c r="AF13" s="29" t="n">
        <f aca="false">COUNTIF($B13:$AE13,"A")+COUNTIF($B13:$AE13,"B")+COUNTIF($B13:$AE13,"式")</f>
        <v>20</v>
      </c>
      <c r="AG13" s="29" t="n">
        <f aca="false">COUNTIF($B13:$AE13,"休")+COUNTIF($B13:$AE13,"×")</f>
        <v>10</v>
      </c>
      <c r="AH13" s="29" t="n">
        <f aca="false">COUNTIF($B13:$AE13,"A")</f>
        <v>9</v>
      </c>
      <c r="AI13" s="29" t="n">
        <f aca="false">COUNTIF($B13:$AE13,"B")</f>
        <v>11</v>
      </c>
      <c r="AJ13" s="29" t="n">
        <f aca="false">SUMPRODUCT(($B$6:$AE$6="●")*($B13:$AE13="休"))</f>
        <v>1</v>
      </c>
    </row>
    <row r="14" customFormat="false" ht="19.5" hidden="false" customHeight="true" outlineLevel="0" collapsed="false">
      <c r="A14" s="24" t="s">
        <v>67</v>
      </c>
      <c r="B14" s="25" t="s">
        <v>45</v>
      </c>
      <c r="C14" s="26" t="s">
        <v>46</v>
      </c>
      <c r="D14" s="27" t="s">
        <v>59</v>
      </c>
      <c r="E14" s="26" t="s">
        <v>46</v>
      </c>
      <c r="F14" s="26" t="s">
        <v>46</v>
      </c>
      <c r="G14" s="26" t="s">
        <v>46</v>
      </c>
      <c r="H14" s="27" t="s">
        <v>59</v>
      </c>
      <c r="I14" s="26" t="s">
        <v>46</v>
      </c>
      <c r="J14" s="26" t="s">
        <v>46</v>
      </c>
      <c r="K14" s="26" t="s">
        <v>46</v>
      </c>
      <c r="L14" s="27" t="s">
        <v>59</v>
      </c>
      <c r="M14" s="25" t="s">
        <v>45</v>
      </c>
      <c r="N14" s="25" t="s">
        <v>45</v>
      </c>
      <c r="O14" s="25" t="s">
        <v>45</v>
      </c>
      <c r="P14" s="27" t="s">
        <v>59</v>
      </c>
      <c r="Q14" s="25" t="s">
        <v>45</v>
      </c>
      <c r="R14" s="25" t="s">
        <v>45</v>
      </c>
      <c r="S14" s="25" t="s">
        <v>45</v>
      </c>
      <c r="T14" s="28" t="s">
        <v>60</v>
      </c>
      <c r="U14" s="28" t="s">
        <v>60</v>
      </c>
      <c r="V14" s="28" t="s">
        <v>60</v>
      </c>
      <c r="W14" s="28" t="s">
        <v>60</v>
      </c>
      <c r="X14" s="28" t="s">
        <v>60</v>
      </c>
      <c r="Y14" s="25" t="s">
        <v>45</v>
      </c>
      <c r="Z14" s="26" t="s">
        <v>46</v>
      </c>
      <c r="AA14" s="26" t="s">
        <v>46</v>
      </c>
      <c r="AB14" s="27" t="s">
        <v>59</v>
      </c>
      <c r="AC14" s="26" t="s">
        <v>46</v>
      </c>
      <c r="AD14" s="26" t="s">
        <v>46</v>
      </c>
      <c r="AE14" s="26" t="s">
        <v>46</v>
      </c>
      <c r="AF14" s="29" t="n">
        <f aca="false">COUNTIF($B14:$AE14,"A")+COUNTIF($B14:$AE14,"B")+COUNTIF($B14:$AE14,"式")</f>
        <v>20</v>
      </c>
      <c r="AG14" s="29" t="n">
        <f aca="false">COUNTIF($B14:$AE14,"休")+COUNTIF($B14:$AE14,"×")</f>
        <v>10</v>
      </c>
      <c r="AH14" s="29" t="n">
        <f aca="false">COUNTIF($B14:$AE14,"A")</f>
        <v>8</v>
      </c>
      <c r="AI14" s="29" t="n">
        <f aca="false">COUNTIF($B14:$AE14,"B")</f>
        <v>12</v>
      </c>
      <c r="AJ14" s="29" t="n">
        <f aca="false">SUMPRODUCT(($B$6:$AE$6="●")*($B14:$AE14="休"))</f>
        <v>1</v>
      </c>
    </row>
    <row r="15" customFormat="false" ht="19.5" hidden="false" customHeight="true" outlineLevel="0" collapsed="false">
      <c r="A15" s="24" t="s">
        <v>68</v>
      </c>
      <c r="B15" s="25" t="s">
        <v>45</v>
      </c>
      <c r="C15" s="26" t="s">
        <v>46</v>
      </c>
      <c r="D15" s="27" t="s">
        <v>59</v>
      </c>
      <c r="E15" s="26" t="s">
        <v>46</v>
      </c>
      <c r="F15" s="26" t="s">
        <v>46</v>
      </c>
      <c r="G15" s="27" t="s">
        <v>59</v>
      </c>
      <c r="H15" s="26" t="s">
        <v>46</v>
      </c>
      <c r="I15" s="26" t="s">
        <v>46</v>
      </c>
      <c r="J15" s="27" t="s">
        <v>59</v>
      </c>
      <c r="K15" s="25" t="s">
        <v>45</v>
      </c>
      <c r="L15" s="25" t="s">
        <v>45</v>
      </c>
      <c r="M15" s="25" t="s">
        <v>45</v>
      </c>
      <c r="N15" s="27" t="s">
        <v>59</v>
      </c>
      <c r="O15" s="26" t="s">
        <v>46</v>
      </c>
      <c r="P15" s="26" t="s">
        <v>46</v>
      </c>
      <c r="Q15" s="26" t="s">
        <v>46</v>
      </c>
      <c r="R15" s="26" t="s">
        <v>46</v>
      </c>
      <c r="S15" s="26" t="s">
        <v>46</v>
      </c>
      <c r="T15" s="28" t="s">
        <v>60</v>
      </c>
      <c r="U15" s="28" t="s">
        <v>60</v>
      </c>
      <c r="V15" s="28" t="s">
        <v>60</v>
      </c>
      <c r="W15" s="28" t="s">
        <v>60</v>
      </c>
      <c r="X15" s="28" t="s">
        <v>60</v>
      </c>
      <c r="Y15" s="26" t="s">
        <v>46</v>
      </c>
      <c r="Z15" s="26" t="s">
        <v>46</v>
      </c>
      <c r="AA15" s="27" t="s">
        <v>59</v>
      </c>
      <c r="AB15" s="25" t="s">
        <v>45</v>
      </c>
      <c r="AC15" s="25" t="s">
        <v>45</v>
      </c>
      <c r="AD15" s="25" t="s">
        <v>45</v>
      </c>
      <c r="AE15" s="25" t="s">
        <v>45</v>
      </c>
      <c r="AF15" s="29" t="n">
        <f aca="false">COUNTIF($B15:$AE15,"A")+COUNTIF($B15:$AE15,"B")+COUNTIF($B15:$AE15,"式")</f>
        <v>20</v>
      </c>
      <c r="AG15" s="29" t="n">
        <f aca="false">COUNTIF($B15:$AE15,"休")+COUNTIF($B15:$AE15,"×")</f>
        <v>10</v>
      </c>
      <c r="AH15" s="29" t="n">
        <f aca="false">COUNTIF($B15:$AE15,"A")</f>
        <v>8</v>
      </c>
      <c r="AI15" s="29" t="n">
        <f aca="false">COUNTIF($B15:$AE15,"B")</f>
        <v>12</v>
      </c>
      <c r="AJ15" s="29" t="n">
        <f aca="false">SUMPRODUCT(($B$6:$AE$6="●")*($B15:$AE15="休"))</f>
        <v>3</v>
      </c>
    </row>
    <row r="16" customFormat="false" ht="15" hidden="false" customHeight="false" outlineLevel="0" collapsed="false">
      <c r="A16" s="30" t="s">
        <v>69</v>
      </c>
      <c r="B16" s="15" t="n">
        <f aca="false">COUNTIF(B$7:B$15,"A")+COUNTIF(B$7:B$15,"B")+COUNTIF(B$7:B$15,"式")</f>
        <v>9</v>
      </c>
      <c r="C16" s="15" t="n">
        <f aca="false">COUNTIF(C$7:C$15,"A")+COUNTIF(C$7:C$15,"B")+COUNTIF(C$7:C$15,"式")</f>
        <v>6</v>
      </c>
      <c r="D16" s="15" t="n">
        <f aca="false">COUNTIF(D$7:D$15,"A")+COUNTIF(D$7:D$15,"B")+COUNTIF(D$7:D$15,"式")</f>
        <v>6</v>
      </c>
      <c r="E16" s="15" t="n">
        <f aca="false">COUNTIF(E$7:E$15,"A")+COUNTIF(E$7:E$15,"B")+COUNTIF(E$7:E$15,"式")</f>
        <v>6</v>
      </c>
      <c r="F16" s="15" t="n">
        <f aca="false">COUNTIF(F$7:F$15,"A")+COUNTIF(F$7:F$15,"B")+COUNTIF(F$7:F$15,"式")</f>
        <v>9</v>
      </c>
      <c r="G16" s="15" t="n">
        <f aca="false">COUNTIF(G$7:G$15,"A")+COUNTIF(G$7:G$15,"B")+COUNTIF(G$7:G$15,"式")</f>
        <v>6</v>
      </c>
      <c r="H16" s="15" t="n">
        <f aca="false">COUNTIF(H$7:H$15,"A")+COUNTIF(H$7:H$15,"B")+COUNTIF(H$7:H$15,"式")</f>
        <v>6</v>
      </c>
      <c r="I16" s="15" t="n">
        <f aca="false">COUNTIF(I$7:I$15,"A")+COUNTIF(I$7:I$15,"B")+COUNTIF(I$7:I$15,"式")</f>
        <v>6</v>
      </c>
      <c r="J16" s="15" t="n">
        <f aca="false">COUNTIF(J$7:J$15,"A")+COUNTIF(J$7:J$15,"B")+COUNTIF(J$7:J$15,"式")</f>
        <v>7</v>
      </c>
      <c r="K16" s="15" t="n">
        <f aca="false">COUNTIF(K$7:K$15,"A")+COUNTIF(K$7:K$15,"B")+COUNTIF(K$7:K$15,"式")</f>
        <v>7</v>
      </c>
      <c r="L16" s="15" t="n">
        <f aca="false">COUNTIF(L$7:L$15,"A")+COUNTIF(L$7:L$15,"B")+COUNTIF(L$7:L$15,"式")</f>
        <v>7</v>
      </c>
      <c r="M16" s="15" t="n">
        <f aca="false">COUNTIF(M$7:M$15,"A")+COUNTIF(M$7:M$15,"B")+COUNTIF(M$7:M$15,"式")</f>
        <v>6</v>
      </c>
      <c r="N16" s="15" t="n">
        <f aca="false">COUNTIF(N$7:N$15,"A")+COUNTIF(N$7:N$15,"B")+COUNTIF(N$7:N$15,"式")</f>
        <v>6</v>
      </c>
      <c r="O16" s="15" t="n">
        <f aca="false">COUNTIF(O$7:O$15,"A")+COUNTIF(O$7:O$15,"B")+COUNTIF(O$7:O$15,"式")</f>
        <v>6</v>
      </c>
      <c r="P16" s="15" t="n">
        <f aca="false">COUNTIF(P$7:P$15,"A")+COUNTIF(P$7:P$15,"B")+COUNTIF(P$7:P$15,"式")</f>
        <v>6</v>
      </c>
      <c r="Q16" s="15" t="n">
        <f aca="false">COUNTIF(Q$7:Q$15,"A")+COUNTIF(Q$7:Q$15,"B")+COUNTIF(Q$7:Q$15,"式")</f>
        <v>9</v>
      </c>
      <c r="R16" s="15" t="n">
        <f aca="false">COUNTIF(R$7:R$15,"A")+COUNTIF(R$7:R$15,"B")+COUNTIF(R$7:R$15,"式")</f>
        <v>9</v>
      </c>
      <c r="S16" s="15" t="n">
        <f aca="false">COUNTIF(S$7:S$15,"A")+COUNTIF(S$7:S$15,"B")+COUNTIF(S$7:S$15,"式")</f>
        <v>9</v>
      </c>
      <c r="T16" s="15" t="n">
        <f aca="false">COUNTIF(T$7:T$15,"A")+COUNTIF(T$7:T$15,"B")+COUNTIF(T$7:T$15,"式")</f>
        <v>0</v>
      </c>
      <c r="U16" s="15" t="n">
        <f aca="false">COUNTIF(U$7:U$15,"A")+COUNTIF(U$7:U$15,"B")+COUNTIF(U$7:U$15,"式")</f>
        <v>0</v>
      </c>
      <c r="V16" s="15" t="n">
        <f aca="false">COUNTIF(V$7:V$15,"A")+COUNTIF(V$7:V$15,"B")+COUNTIF(V$7:V$15,"式")</f>
        <v>0</v>
      </c>
      <c r="W16" s="15" t="n">
        <f aca="false">COUNTIF(W$7:W$15,"A")+COUNTIF(W$7:W$15,"B")+COUNTIF(W$7:W$15,"式")</f>
        <v>0</v>
      </c>
      <c r="X16" s="15" t="n">
        <f aca="false">COUNTIF(X$7:X$15,"A")+COUNTIF(X$7:X$15,"B")+COUNTIF(X$7:X$15,"式")</f>
        <v>0</v>
      </c>
      <c r="Y16" s="15" t="n">
        <f aca="false">COUNTIF(Y$7:Y$15,"A")+COUNTIF(Y$7:Y$15,"B")+COUNTIF(Y$7:Y$15,"式")</f>
        <v>9</v>
      </c>
      <c r="Z16" s="15" t="n">
        <f aca="false">COUNTIF(Z$7:Z$15,"A")+COUNTIF(Z$7:Z$15,"B")+COUNTIF(Z$7:Z$15,"式")</f>
        <v>9</v>
      </c>
      <c r="AA16" s="15" t="n">
        <f aca="false">COUNTIF(AA$7:AA$15,"A")+COUNTIF(AA$7:AA$15,"B")+COUNTIF(AA$7:AA$15,"式")</f>
        <v>6</v>
      </c>
      <c r="AB16" s="15" t="n">
        <f aca="false">COUNTIF(AB$7:AB$15,"A")+COUNTIF(AB$7:AB$15,"B")+COUNTIF(AB$7:AB$15,"式")</f>
        <v>6</v>
      </c>
      <c r="AC16" s="15" t="n">
        <f aca="false">COUNTIF(AC$7:AC$15,"A")+COUNTIF(AC$7:AC$15,"B")+COUNTIF(AC$7:AC$15,"式")</f>
        <v>6</v>
      </c>
      <c r="AD16" s="15" t="n">
        <f aca="false">COUNTIF(AD$7:AD$15,"A")+COUNTIF(AD$7:AD$15,"B")+COUNTIF(AD$7:AD$15,"式")</f>
        <v>9</v>
      </c>
      <c r="AE16" s="15" t="n">
        <f aca="false">COUNTIF(AE$7:AE$15,"A")+COUNTIF(AE$7:AE$15,"B")+COUNTIF(AE$7:AE$15,"式")</f>
        <v>9</v>
      </c>
      <c r="AF16" s="31" t="n">
        <f aca="false">SUM(B16:AE16)</f>
        <v>180</v>
      </c>
    </row>
    <row r="17" customFormat="false" ht="15" hidden="false" customHeight="false" outlineLevel="0" collapsed="false">
      <c r="A17" s="32" t="s">
        <v>70</v>
      </c>
      <c r="B17" s="33" t="n">
        <f aca="false">COUNTIF(B$7:B$15,"A")</f>
        <v>9</v>
      </c>
      <c r="C17" s="33" t="n">
        <f aca="false">COUNTIF(C$7:C$15,"A")</f>
        <v>0</v>
      </c>
      <c r="D17" s="33" t="n">
        <f aca="false">COUNTIF(D$7:D$15,"A")</f>
        <v>0</v>
      </c>
      <c r="E17" s="33" t="n">
        <f aca="false">COUNTIF(E$7:E$15,"A")</f>
        <v>0</v>
      </c>
      <c r="F17" s="33" t="n">
        <f aca="false">COUNTIF(F$7:F$15,"A")</f>
        <v>0</v>
      </c>
      <c r="G17" s="33" t="n">
        <f aca="false">COUNTIF(G$7:G$15,"A")</f>
        <v>4</v>
      </c>
      <c r="H17" s="33" t="n">
        <f aca="false">COUNTIF(H$7:H$15,"A")</f>
        <v>2</v>
      </c>
      <c r="I17" s="33" t="n">
        <f aca="false">COUNTIF(I$7:I$15,"A")</f>
        <v>2</v>
      </c>
      <c r="J17" s="33" t="n">
        <f aca="false">COUNTIF(J$7:J$15,"A")</f>
        <v>3</v>
      </c>
      <c r="K17" s="33" t="n">
        <f aca="false">COUNTIF(K$7:K$15,"A")</f>
        <v>3</v>
      </c>
      <c r="L17" s="33" t="n">
        <f aca="false">COUNTIF(L$7:L$15,"A")</f>
        <v>3</v>
      </c>
      <c r="M17" s="33" t="n">
        <f aca="false">COUNTIF(M$7:M$15,"A")</f>
        <v>4</v>
      </c>
      <c r="N17" s="33" t="n">
        <f aca="false">COUNTIF(N$7:N$15,"A")</f>
        <v>4</v>
      </c>
      <c r="O17" s="33" t="n">
        <f aca="false">COUNTIF(O$7:O$15,"A")</f>
        <v>2</v>
      </c>
      <c r="P17" s="33" t="n">
        <f aca="false">COUNTIF(P$7:P$15,"A")</f>
        <v>2</v>
      </c>
      <c r="Q17" s="33" t="n">
        <f aca="false">COUNTIF(Q$7:Q$15,"A")</f>
        <v>4</v>
      </c>
      <c r="R17" s="33" t="n">
        <f aca="false">COUNTIF(R$7:R$15,"A")</f>
        <v>4</v>
      </c>
      <c r="S17" s="33" t="n">
        <f aca="false">COUNTIF(S$7:S$15,"A")</f>
        <v>4</v>
      </c>
      <c r="T17" s="33" t="n">
        <f aca="false">COUNTIF(T$7:T$15,"A")</f>
        <v>0</v>
      </c>
      <c r="U17" s="33" t="n">
        <f aca="false">COUNTIF(U$7:U$15,"A")</f>
        <v>0</v>
      </c>
      <c r="V17" s="33" t="n">
        <f aca="false">COUNTIF(V$7:V$15,"A")</f>
        <v>0</v>
      </c>
      <c r="W17" s="33" t="n">
        <f aca="false">COUNTIF(W$7:W$15,"A")</f>
        <v>0</v>
      </c>
      <c r="X17" s="33" t="n">
        <f aca="false">COUNTIF(X$7:X$15,"A")</f>
        <v>0</v>
      </c>
      <c r="Y17" s="33" t="n">
        <f aca="false">COUNTIF(Y$7:Y$15,"A")</f>
        <v>4</v>
      </c>
      <c r="Z17" s="33" t="n">
        <f aca="false">COUNTIF(Z$7:Z$15,"A")</f>
        <v>4</v>
      </c>
      <c r="AA17" s="33" t="n">
        <f aca="false">COUNTIF(AA$7:AA$15,"A")</f>
        <v>4</v>
      </c>
      <c r="AB17" s="33" t="n">
        <f aca="false">COUNTIF(AB$7:AB$15,"A")</f>
        <v>4</v>
      </c>
      <c r="AC17" s="33" t="n">
        <f aca="false">COUNTIF(AC$7:AC$15,"A")</f>
        <v>2</v>
      </c>
      <c r="AD17" s="33" t="n">
        <f aca="false">COUNTIF(AD$7:AD$15,"A")</f>
        <v>4</v>
      </c>
      <c r="AE17" s="33" t="n">
        <f aca="false">COUNTIF(AE$7:AE$15,"A")</f>
        <v>4</v>
      </c>
      <c r="AF17" s="31" t="n">
        <f aca="false">SUM(B17:AE17)</f>
        <v>76</v>
      </c>
    </row>
    <row r="18" customFormat="false" ht="15" hidden="false" customHeight="false" outlineLevel="0" collapsed="false">
      <c r="A18" s="32" t="s">
        <v>71</v>
      </c>
      <c r="B18" s="33" t="n">
        <f aca="false">COUNTIF(B$7:B$15,"B")</f>
        <v>0</v>
      </c>
      <c r="C18" s="33" t="n">
        <f aca="false">COUNTIF(C$7:C$15,"B")</f>
        <v>6</v>
      </c>
      <c r="D18" s="33" t="n">
        <f aca="false">COUNTIF(D$7:D$15,"B")</f>
        <v>6</v>
      </c>
      <c r="E18" s="33" t="n">
        <f aca="false">COUNTIF(E$7:E$15,"B")</f>
        <v>6</v>
      </c>
      <c r="F18" s="33" t="n">
        <f aca="false">COUNTIF(F$7:F$15,"B")</f>
        <v>9</v>
      </c>
      <c r="G18" s="33" t="n">
        <f aca="false">COUNTIF(G$7:G$15,"B")</f>
        <v>2</v>
      </c>
      <c r="H18" s="33" t="n">
        <f aca="false">COUNTIF(H$7:H$15,"B")</f>
        <v>4</v>
      </c>
      <c r="I18" s="33" t="n">
        <f aca="false">COUNTIF(I$7:I$15,"B")</f>
        <v>4</v>
      </c>
      <c r="J18" s="33" t="n">
        <f aca="false">COUNTIF(J$7:J$15,"B")</f>
        <v>4</v>
      </c>
      <c r="K18" s="33" t="n">
        <f aca="false">COUNTIF(K$7:K$15,"B")</f>
        <v>4</v>
      </c>
      <c r="L18" s="33" t="n">
        <f aca="false">COUNTIF(L$7:L$15,"B")</f>
        <v>4</v>
      </c>
      <c r="M18" s="33" t="n">
        <f aca="false">COUNTIF(M$7:M$15,"B")</f>
        <v>2</v>
      </c>
      <c r="N18" s="33" t="n">
        <f aca="false">COUNTIF(N$7:N$15,"B")</f>
        <v>2</v>
      </c>
      <c r="O18" s="33" t="n">
        <f aca="false">COUNTIF(O$7:O$15,"B")</f>
        <v>4</v>
      </c>
      <c r="P18" s="33" t="n">
        <f aca="false">COUNTIF(P$7:P$15,"B")</f>
        <v>4</v>
      </c>
      <c r="Q18" s="33" t="n">
        <f aca="false">COUNTIF(Q$7:Q$15,"B")</f>
        <v>5</v>
      </c>
      <c r="R18" s="33" t="n">
        <f aca="false">COUNTIF(R$7:R$15,"B")</f>
        <v>5</v>
      </c>
      <c r="S18" s="33" t="n">
        <f aca="false">COUNTIF(S$7:S$15,"B")</f>
        <v>5</v>
      </c>
      <c r="T18" s="33" t="n">
        <f aca="false">COUNTIF(T$7:T$15,"B")</f>
        <v>0</v>
      </c>
      <c r="U18" s="33" t="n">
        <f aca="false">COUNTIF(U$7:U$15,"B")</f>
        <v>0</v>
      </c>
      <c r="V18" s="33" t="n">
        <f aca="false">COUNTIF(V$7:V$15,"B")</f>
        <v>0</v>
      </c>
      <c r="W18" s="33" t="n">
        <f aca="false">COUNTIF(W$7:W$15,"B")</f>
        <v>0</v>
      </c>
      <c r="X18" s="33" t="n">
        <f aca="false">COUNTIF(X$7:X$15,"B")</f>
        <v>0</v>
      </c>
      <c r="Y18" s="33" t="n">
        <f aca="false">COUNTIF(Y$7:Y$15,"B")</f>
        <v>5</v>
      </c>
      <c r="Z18" s="33" t="n">
        <f aca="false">COUNTIF(Z$7:Z$15,"B")</f>
        <v>5</v>
      </c>
      <c r="AA18" s="33" t="n">
        <f aca="false">COUNTIF(AA$7:AA$15,"B")</f>
        <v>2</v>
      </c>
      <c r="AB18" s="33" t="n">
        <f aca="false">COUNTIF(AB$7:AB$15,"B")</f>
        <v>2</v>
      </c>
      <c r="AC18" s="33" t="n">
        <f aca="false">COUNTIF(AC$7:AC$15,"B")</f>
        <v>4</v>
      </c>
      <c r="AD18" s="33" t="n">
        <f aca="false">COUNTIF(AD$7:AD$15,"B")</f>
        <v>5</v>
      </c>
      <c r="AE18" s="33" t="n">
        <f aca="false">COUNTIF(AE$7:AE$15,"B")</f>
        <v>5</v>
      </c>
      <c r="AF18" s="31" t="n">
        <f aca="false">SUM(B18:AE18)</f>
        <v>104</v>
      </c>
    </row>
    <row r="20" customFormat="false" ht="15" hidden="false" customHeight="false" outlineLevel="0" collapsed="false">
      <c r="A20" s="34" t="s">
        <v>72</v>
      </c>
    </row>
    <row r="21" customFormat="false" ht="15" hidden="false" customHeight="false" outlineLevel="0" collapsed="false">
      <c r="A21" s="3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2" min="2" style="0" width="3.61"/>
    <col collapsed="false" customWidth="true" hidden="false" outlineLevel="0" max="36" min="33" style="0" width="6.51"/>
    <col collapsed="false" customWidth="true" hidden="false" outlineLevel="0" max="37" min="37" style="0" width="8"/>
  </cols>
  <sheetData>
    <row r="1" customFormat="false" ht="21.6" hidden="false" customHeight="false" outlineLevel="0" collapsed="false">
      <c r="A1" s="1" t="s">
        <v>74</v>
      </c>
    </row>
    <row r="2" customFormat="false" ht="15" hidden="false" customHeight="false" outlineLevel="0" collapsed="false">
      <c r="A2" s="11" t="s">
        <v>40</v>
      </c>
    </row>
    <row r="3" customFormat="false" ht="15" hidden="false" customHeight="false" outlineLevel="0" collapsed="false">
      <c r="A3" s="12" t="s">
        <v>41</v>
      </c>
    </row>
    <row r="4" customFormat="false" ht="15" hidden="false" customHeight="false" outlineLevel="0" collapsed="false">
      <c r="A4" s="13" t="s">
        <v>42</v>
      </c>
      <c r="B4" s="13" t="n">
        <v>1</v>
      </c>
      <c r="C4" s="13" t="n">
        <v>2</v>
      </c>
      <c r="D4" s="13" t="n">
        <v>3</v>
      </c>
      <c r="E4" s="13" t="n">
        <v>4</v>
      </c>
      <c r="F4" s="13" t="n">
        <v>5</v>
      </c>
      <c r="G4" s="13" t="n">
        <v>6</v>
      </c>
      <c r="H4" s="13" t="n">
        <v>7</v>
      </c>
      <c r="I4" s="13" t="n">
        <v>8</v>
      </c>
      <c r="J4" s="13" t="n">
        <v>9</v>
      </c>
      <c r="K4" s="13" t="n">
        <v>10</v>
      </c>
      <c r="L4" s="13" t="n">
        <v>11</v>
      </c>
      <c r="M4" s="13" t="n">
        <v>12</v>
      </c>
      <c r="N4" s="13" t="n">
        <v>13</v>
      </c>
      <c r="O4" s="13" t="n">
        <v>14</v>
      </c>
      <c r="P4" s="13" t="n">
        <v>15</v>
      </c>
      <c r="Q4" s="13" t="n">
        <v>16</v>
      </c>
      <c r="R4" s="13" t="n">
        <v>17</v>
      </c>
      <c r="S4" s="13" t="n">
        <v>18</v>
      </c>
      <c r="T4" s="13" t="n">
        <v>19</v>
      </c>
      <c r="U4" s="13" t="n">
        <v>20</v>
      </c>
      <c r="V4" s="13" t="n">
        <v>21</v>
      </c>
      <c r="W4" s="13" t="n">
        <v>22</v>
      </c>
      <c r="X4" s="13" t="n">
        <v>23</v>
      </c>
      <c r="Y4" s="13" t="n">
        <v>24</v>
      </c>
      <c r="Z4" s="13" t="n">
        <v>25</v>
      </c>
      <c r="AA4" s="13" t="n">
        <v>26</v>
      </c>
      <c r="AB4" s="13" t="n">
        <v>27</v>
      </c>
      <c r="AC4" s="13" t="n">
        <v>28</v>
      </c>
      <c r="AD4" s="13" t="n">
        <v>29</v>
      </c>
      <c r="AE4" s="13" t="n">
        <v>30</v>
      </c>
      <c r="AF4" s="13" t="n">
        <v>31</v>
      </c>
      <c r="AG4" s="13" t="s">
        <v>43</v>
      </c>
      <c r="AH4" s="13" t="s">
        <v>44</v>
      </c>
      <c r="AI4" s="14" t="s">
        <v>45</v>
      </c>
      <c r="AJ4" s="14" t="s">
        <v>46</v>
      </c>
      <c r="AK4" s="13" t="s">
        <v>47</v>
      </c>
    </row>
    <row r="5" customFormat="false" ht="15" hidden="false" customHeight="false" outlineLevel="0" collapsed="false">
      <c r="A5" s="15" t="s">
        <v>48</v>
      </c>
      <c r="B5" s="15" t="s">
        <v>51</v>
      </c>
      <c r="C5" s="15" t="s">
        <v>52</v>
      </c>
      <c r="D5" s="16" t="s">
        <v>53</v>
      </c>
      <c r="E5" s="17" t="s">
        <v>54</v>
      </c>
      <c r="F5" s="15" t="s">
        <v>55</v>
      </c>
      <c r="G5" s="15" t="s">
        <v>49</v>
      </c>
      <c r="H5" s="15" t="s">
        <v>50</v>
      </c>
      <c r="I5" s="15" t="s">
        <v>51</v>
      </c>
      <c r="J5" s="15" t="s">
        <v>52</v>
      </c>
      <c r="K5" s="16" t="s">
        <v>53</v>
      </c>
      <c r="L5" s="17" t="s">
        <v>54</v>
      </c>
      <c r="M5" s="18" t="s">
        <v>55</v>
      </c>
      <c r="N5" s="15" t="s">
        <v>49</v>
      </c>
      <c r="O5" s="15" t="s">
        <v>50</v>
      </c>
      <c r="P5" s="15" t="s">
        <v>51</v>
      </c>
      <c r="Q5" s="15" t="s">
        <v>52</v>
      </c>
      <c r="R5" s="16" t="s">
        <v>53</v>
      </c>
      <c r="S5" s="17" t="s">
        <v>54</v>
      </c>
      <c r="T5" s="15" t="s">
        <v>55</v>
      </c>
      <c r="U5" s="15" t="s">
        <v>49</v>
      </c>
      <c r="V5" s="15" t="s">
        <v>50</v>
      </c>
      <c r="W5" s="15" t="s">
        <v>51</v>
      </c>
      <c r="X5" s="15" t="s">
        <v>52</v>
      </c>
      <c r="Y5" s="16" t="s">
        <v>53</v>
      </c>
      <c r="Z5" s="17" t="s">
        <v>54</v>
      </c>
      <c r="AA5" s="15" t="s">
        <v>55</v>
      </c>
      <c r="AB5" s="15" t="s">
        <v>49</v>
      </c>
      <c r="AC5" s="15" t="s">
        <v>50</v>
      </c>
      <c r="AD5" s="15" t="s">
        <v>51</v>
      </c>
      <c r="AE5" s="15" t="s">
        <v>52</v>
      </c>
      <c r="AF5" s="16" t="s">
        <v>53</v>
      </c>
      <c r="AG5" s="19"/>
      <c r="AH5" s="19"/>
      <c r="AI5" s="19"/>
      <c r="AJ5" s="19"/>
      <c r="AK5" s="19"/>
    </row>
    <row r="6" customFormat="false" ht="15" hidden="false" customHeight="false" outlineLevel="0" collapsed="false">
      <c r="A6" s="15" t="s">
        <v>56</v>
      </c>
      <c r="B6" s="20"/>
      <c r="C6" s="20"/>
      <c r="D6" s="21" t="s">
        <v>57</v>
      </c>
      <c r="E6" s="22" t="s">
        <v>57</v>
      </c>
      <c r="F6" s="20"/>
      <c r="G6" s="20"/>
      <c r="H6" s="20"/>
      <c r="I6" s="20"/>
      <c r="J6" s="20"/>
      <c r="K6" s="21" t="s">
        <v>57</v>
      </c>
      <c r="L6" s="22" t="s">
        <v>57</v>
      </c>
      <c r="M6" s="23" t="s">
        <v>57</v>
      </c>
      <c r="N6" s="20"/>
      <c r="O6" s="20"/>
      <c r="P6" s="20"/>
      <c r="Q6" s="20"/>
      <c r="R6" s="21" t="s">
        <v>57</v>
      </c>
      <c r="S6" s="22" t="s">
        <v>57</v>
      </c>
      <c r="T6" s="20"/>
      <c r="U6" s="20"/>
      <c r="V6" s="20"/>
      <c r="W6" s="20"/>
      <c r="X6" s="20"/>
      <c r="Y6" s="21" t="s">
        <v>57</v>
      </c>
      <c r="Z6" s="22" t="s">
        <v>57</v>
      </c>
      <c r="AA6" s="20"/>
      <c r="AB6" s="20"/>
      <c r="AC6" s="20"/>
      <c r="AD6" s="20"/>
      <c r="AE6" s="20"/>
      <c r="AF6" s="21" t="s">
        <v>57</v>
      </c>
      <c r="AG6" s="19"/>
      <c r="AH6" s="19"/>
      <c r="AI6" s="19"/>
      <c r="AJ6" s="19"/>
      <c r="AK6" s="19"/>
    </row>
    <row r="7" customFormat="false" ht="19.5" hidden="false" customHeight="true" outlineLevel="0" collapsed="false">
      <c r="A7" s="24" t="s">
        <v>58</v>
      </c>
      <c r="B7" s="25" t="s">
        <v>45</v>
      </c>
      <c r="C7" s="25" t="s">
        <v>45</v>
      </c>
      <c r="D7" s="25" t="s">
        <v>45</v>
      </c>
      <c r="E7" s="27" t="s">
        <v>59</v>
      </c>
      <c r="F7" s="26" t="s">
        <v>46</v>
      </c>
      <c r="G7" s="26" t="s">
        <v>46</v>
      </c>
      <c r="H7" s="26" t="s">
        <v>46</v>
      </c>
      <c r="I7" s="26" t="s">
        <v>46</v>
      </c>
      <c r="J7" s="27" t="s">
        <v>59</v>
      </c>
      <c r="K7" s="27" t="s">
        <v>59</v>
      </c>
      <c r="L7" s="25" t="s">
        <v>45</v>
      </c>
      <c r="M7" s="28" t="s">
        <v>60</v>
      </c>
      <c r="N7" s="26" t="s">
        <v>46</v>
      </c>
      <c r="O7" s="26" t="s">
        <v>46</v>
      </c>
      <c r="P7" s="27" t="s">
        <v>59</v>
      </c>
      <c r="Q7" s="26" t="s">
        <v>46</v>
      </c>
      <c r="R7" s="26" t="s">
        <v>46</v>
      </c>
      <c r="S7" s="27" t="s">
        <v>59</v>
      </c>
      <c r="T7" s="25" t="s">
        <v>45</v>
      </c>
      <c r="U7" s="25" t="s">
        <v>45</v>
      </c>
      <c r="V7" s="25" t="s">
        <v>45</v>
      </c>
      <c r="W7" s="27" t="s">
        <v>59</v>
      </c>
      <c r="X7" s="25" t="s">
        <v>45</v>
      </c>
      <c r="Y7" s="25" t="s">
        <v>45</v>
      </c>
      <c r="Z7" s="26" t="s">
        <v>46</v>
      </c>
      <c r="AA7" s="26" t="s">
        <v>46</v>
      </c>
      <c r="AB7" s="27" t="s">
        <v>59</v>
      </c>
      <c r="AC7" s="27" t="s">
        <v>59</v>
      </c>
      <c r="AD7" s="26" t="s">
        <v>46</v>
      </c>
      <c r="AE7" s="26" t="s">
        <v>46</v>
      </c>
      <c r="AF7" s="26" t="s">
        <v>46</v>
      </c>
      <c r="AG7" s="29" t="n">
        <f aca="false">COUNTIF($B7:$AF7,"A")+COUNTIF($B7:$AF7,"B")+COUNTIF($B7:$AF7,"式")</f>
        <v>22</v>
      </c>
      <c r="AH7" s="29" t="n">
        <f aca="false">COUNTIF($B7:$AF7,"休")+COUNTIF($B7:$AF7,"×")</f>
        <v>9</v>
      </c>
      <c r="AI7" s="29" t="n">
        <f aca="false">COUNTIF($B7:$AF7,"A")</f>
        <v>9</v>
      </c>
      <c r="AJ7" s="29" t="n">
        <f aca="false">COUNTIF($B7:$AF7,"B")</f>
        <v>13</v>
      </c>
      <c r="AK7" s="29" t="n">
        <f aca="false">SUMPRODUCT(($B$6:$AF$6="●")*($B7:$AF7="休"))</f>
        <v>3</v>
      </c>
    </row>
    <row r="8" customFormat="false" ht="19.5" hidden="false" customHeight="true" outlineLevel="0" collapsed="false">
      <c r="A8" s="24" t="s">
        <v>61</v>
      </c>
      <c r="B8" s="25" t="s">
        <v>45</v>
      </c>
      <c r="C8" s="25" t="s">
        <v>45</v>
      </c>
      <c r="D8" s="25" t="s">
        <v>45</v>
      </c>
      <c r="E8" s="25" t="s">
        <v>45</v>
      </c>
      <c r="F8" s="27" t="s">
        <v>59</v>
      </c>
      <c r="G8" s="27" t="s">
        <v>59</v>
      </c>
      <c r="H8" s="26" t="s">
        <v>46</v>
      </c>
      <c r="I8" s="26" t="s">
        <v>46</v>
      </c>
      <c r="J8" s="26" t="s">
        <v>46</v>
      </c>
      <c r="K8" s="27" t="s">
        <v>59</v>
      </c>
      <c r="L8" s="26" t="s">
        <v>46</v>
      </c>
      <c r="M8" s="28" t="s">
        <v>60</v>
      </c>
      <c r="N8" s="26" t="s">
        <v>46</v>
      </c>
      <c r="O8" s="27" t="s">
        <v>59</v>
      </c>
      <c r="P8" s="26" t="s">
        <v>46</v>
      </c>
      <c r="Q8" s="26" t="s">
        <v>46</v>
      </c>
      <c r="R8" s="26" t="s">
        <v>46</v>
      </c>
      <c r="S8" s="26" t="s">
        <v>46</v>
      </c>
      <c r="T8" s="27" t="s">
        <v>59</v>
      </c>
      <c r="U8" s="26" t="s">
        <v>46</v>
      </c>
      <c r="V8" s="26" t="s">
        <v>46</v>
      </c>
      <c r="W8" s="26" t="s">
        <v>46</v>
      </c>
      <c r="X8" s="27" t="s">
        <v>59</v>
      </c>
      <c r="Y8" s="25" t="s">
        <v>45</v>
      </c>
      <c r="Z8" s="25" t="s">
        <v>45</v>
      </c>
      <c r="AA8" s="25" t="s">
        <v>45</v>
      </c>
      <c r="AB8" s="25" t="s">
        <v>45</v>
      </c>
      <c r="AC8" s="27" t="s">
        <v>59</v>
      </c>
      <c r="AD8" s="27" t="s">
        <v>59</v>
      </c>
      <c r="AE8" s="25" t="s">
        <v>45</v>
      </c>
      <c r="AF8" s="25" t="s">
        <v>45</v>
      </c>
      <c r="AG8" s="29" t="n">
        <f aca="false">COUNTIF($B8:$AF8,"A")+COUNTIF($B8:$AF8,"B")+COUNTIF($B8:$AF8,"式")</f>
        <v>22</v>
      </c>
      <c r="AH8" s="29" t="n">
        <f aca="false">COUNTIF($B8:$AF8,"休")+COUNTIF($B8:$AF8,"×")</f>
        <v>9</v>
      </c>
      <c r="AI8" s="29" t="n">
        <f aca="false">COUNTIF($B8:$AF8,"A")</f>
        <v>10</v>
      </c>
      <c r="AJ8" s="29" t="n">
        <f aca="false">COUNTIF($B8:$AF8,"B")</f>
        <v>12</v>
      </c>
      <c r="AK8" s="29" t="n">
        <f aca="false">SUMPRODUCT(($B$6:$AF$6="●")*($B8:$AF8="休"))</f>
        <v>1</v>
      </c>
    </row>
    <row r="9" customFormat="false" ht="19.5" hidden="false" customHeight="true" outlineLevel="0" collapsed="false">
      <c r="A9" s="24" t="s">
        <v>62</v>
      </c>
      <c r="B9" s="26" t="s">
        <v>46</v>
      </c>
      <c r="C9" s="26" t="s">
        <v>46</v>
      </c>
      <c r="D9" s="26" t="s">
        <v>46</v>
      </c>
      <c r="E9" s="26" t="s">
        <v>46</v>
      </c>
      <c r="F9" s="27" t="s">
        <v>59</v>
      </c>
      <c r="G9" s="25" t="s">
        <v>45</v>
      </c>
      <c r="H9" s="25" t="s">
        <v>45</v>
      </c>
      <c r="I9" s="26" t="s">
        <v>46</v>
      </c>
      <c r="J9" s="26" t="s">
        <v>46</v>
      </c>
      <c r="K9" s="27" t="s">
        <v>59</v>
      </c>
      <c r="L9" s="25" t="s">
        <v>45</v>
      </c>
      <c r="M9" s="28" t="s">
        <v>60</v>
      </c>
      <c r="N9" s="27" t="s">
        <v>59</v>
      </c>
      <c r="O9" s="27" t="s">
        <v>59</v>
      </c>
      <c r="P9" s="25" t="s">
        <v>45</v>
      </c>
      <c r="Q9" s="25" t="s">
        <v>45</v>
      </c>
      <c r="R9" s="25" t="s">
        <v>45</v>
      </c>
      <c r="S9" s="25" t="s">
        <v>45</v>
      </c>
      <c r="T9" s="27" t="s">
        <v>59</v>
      </c>
      <c r="U9" s="27" t="s">
        <v>59</v>
      </c>
      <c r="V9" s="25" t="s">
        <v>45</v>
      </c>
      <c r="W9" s="26" t="s">
        <v>46</v>
      </c>
      <c r="X9" s="26" t="s">
        <v>46</v>
      </c>
      <c r="Y9" s="26" t="s">
        <v>46</v>
      </c>
      <c r="Z9" s="27" t="s">
        <v>59</v>
      </c>
      <c r="AA9" s="26" t="s">
        <v>46</v>
      </c>
      <c r="AB9" s="26" t="s">
        <v>46</v>
      </c>
      <c r="AC9" s="26" t="s">
        <v>46</v>
      </c>
      <c r="AD9" s="26" t="s">
        <v>46</v>
      </c>
      <c r="AE9" s="27" t="s">
        <v>59</v>
      </c>
      <c r="AF9" s="25" t="s">
        <v>45</v>
      </c>
      <c r="AG9" s="29" t="n">
        <f aca="false">COUNTIF($B9:$AF9,"A")+COUNTIF($B9:$AF9,"B")+COUNTIF($B9:$AF9,"式")</f>
        <v>22</v>
      </c>
      <c r="AH9" s="29" t="n">
        <f aca="false">COUNTIF($B9:$AF9,"休")+COUNTIF($B9:$AF9,"×")</f>
        <v>9</v>
      </c>
      <c r="AI9" s="29" t="n">
        <f aca="false">COUNTIF($B9:$AF9,"A")</f>
        <v>9</v>
      </c>
      <c r="AJ9" s="29" t="n">
        <f aca="false">COUNTIF($B9:$AF9,"B")</f>
        <v>13</v>
      </c>
      <c r="AK9" s="29" t="n">
        <f aca="false">SUMPRODUCT(($B$6:$AF$6="●")*($B9:$AF9="休"))</f>
        <v>2</v>
      </c>
    </row>
    <row r="10" customFormat="false" ht="19.5" hidden="false" customHeight="true" outlineLevel="0" collapsed="false">
      <c r="A10" s="24" t="s">
        <v>63</v>
      </c>
      <c r="B10" s="26" t="s">
        <v>46</v>
      </c>
      <c r="C10" s="27" t="s">
        <v>59</v>
      </c>
      <c r="D10" s="25" t="s">
        <v>45</v>
      </c>
      <c r="E10" s="25" t="s">
        <v>45</v>
      </c>
      <c r="F10" s="26" t="s">
        <v>46</v>
      </c>
      <c r="G10" s="26" t="s">
        <v>46</v>
      </c>
      <c r="H10" s="27" t="s">
        <v>59</v>
      </c>
      <c r="I10" s="25" t="s">
        <v>45</v>
      </c>
      <c r="J10" s="25" t="s">
        <v>45</v>
      </c>
      <c r="K10" s="25" t="s">
        <v>45</v>
      </c>
      <c r="L10" s="27" t="s">
        <v>59</v>
      </c>
      <c r="M10" s="28" t="s">
        <v>60</v>
      </c>
      <c r="N10" s="26" t="s">
        <v>46</v>
      </c>
      <c r="O10" s="26" t="s">
        <v>46</v>
      </c>
      <c r="P10" s="26" t="s">
        <v>46</v>
      </c>
      <c r="Q10" s="26" t="s">
        <v>46</v>
      </c>
      <c r="R10" s="27" t="s">
        <v>59</v>
      </c>
      <c r="S10" s="27" t="s">
        <v>59</v>
      </c>
      <c r="T10" s="26" t="s">
        <v>46</v>
      </c>
      <c r="U10" s="26" t="s">
        <v>46</v>
      </c>
      <c r="V10" s="26" t="s">
        <v>46</v>
      </c>
      <c r="W10" s="26" t="s">
        <v>46</v>
      </c>
      <c r="X10" s="27" t="s">
        <v>59</v>
      </c>
      <c r="Y10" s="27" t="s">
        <v>59</v>
      </c>
      <c r="Z10" s="25" t="s">
        <v>45</v>
      </c>
      <c r="AA10" s="26" t="s">
        <v>46</v>
      </c>
      <c r="AB10" s="27" t="s">
        <v>59</v>
      </c>
      <c r="AC10" s="25" t="s">
        <v>45</v>
      </c>
      <c r="AD10" s="25" t="s">
        <v>45</v>
      </c>
      <c r="AE10" s="25" t="s">
        <v>45</v>
      </c>
      <c r="AF10" s="25" t="s">
        <v>45</v>
      </c>
      <c r="AG10" s="29" t="n">
        <f aca="false">COUNTIF($B10:$AF10,"A")+COUNTIF($B10:$AF10,"B")+COUNTIF($B10:$AF10,"式")</f>
        <v>22</v>
      </c>
      <c r="AH10" s="29" t="n">
        <f aca="false">COUNTIF($B10:$AF10,"休")+COUNTIF($B10:$AF10,"×")</f>
        <v>9</v>
      </c>
      <c r="AI10" s="29" t="n">
        <f aca="false">COUNTIF($B10:$AF10,"A")</f>
        <v>10</v>
      </c>
      <c r="AJ10" s="29" t="n">
        <f aca="false">COUNTIF($B10:$AF10,"B")</f>
        <v>12</v>
      </c>
      <c r="AK10" s="29" t="n">
        <f aca="false">SUMPRODUCT(($B$6:$AF$6="●")*($B10:$AF10="休"))</f>
        <v>4</v>
      </c>
    </row>
    <row r="11" customFormat="false" ht="19.5" hidden="false" customHeight="true" outlineLevel="0" collapsed="false">
      <c r="A11" s="24" t="s">
        <v>64</v>
      </c>
      <c r="B11" s="26" t="s">
        <v>46</v>
      </c>
      <c r="C11" s="26" t="s">
        <v>46</v>
      </c>
      <c r="D11" s="26" t="s">
        <v>46</v>
      </c>
      <c r="E11" s="26" t="s">
        <v>46</v>
      </c>
      <c r="F11" s="27" t="s">
        <v>59</v>
      </c>
      <c r="G11" s="27" t="s">
        <v>59</v>
      </c>
      <c r="H11" s="26" t="s">
        <v>46</v>
      </c>
      <c r="I11" s="27" t="s">
        <v>59</v>
      </c>
      <c r="J11" s="25" t="s">
        <v>45</v>
      </c>
      <c r="K11" s="25" t="s">
        <v>45</v>
      </c>
      <c r="L11" s="26" t="s">
        <v>46</v>
      </c>
      <c r="M11" s="28" t="s">
        <v>60</v>
      </c>
      <c r="N11" s="25" t="s">
        <v>45</v>
      </c>
      <c r="O11" s="25" t="s">
        <v>45</v>
      </c>
      <c r="P11" s="25" t="s">
        <v>45</v>
      </c>
      <c r="Q11" s="27" t="s">
        <v>59</v>
      </c>
      <c r="R11" s="27" t="s">
        <v>59</v>
      </c>
      <c r="S11" s="25" t="s">
        <v>45</v>
      </c>
      <c r="T11" s="26" t="s">
        <v>46</v>
      </c>
      <c r="U11" s="26" t="s">
        <v>46</v>
      </c>
      <c r="V11" s="26" t="s">
        <v>46</v>
      </c>
      <c r="W11" s="27" t="s">
        <v>59</v>
      </c>
      <c r="X11" s="26" t="s">
        <v>46</v>
      </c>
      <c r="Y11" s="26" t="s">
        <v>46</v>
      </c>
      <c r="Z11" s="27" t="s">
        <v>59</v>
      </c>
      <c r="AA11" s="25" t="s">
        <v>45</v>
      </c>
      <c r="AB11" s="25" t="s">
        <v>45</v>
      </c>
      <c r="AC11" s="26" t="s">
        <v>46</v>
      </c>
      <c r="AD11" s="27" t="s">
        <v>59</v>
      </c>
      <c r="AE11" s="25" t="s">
        <v>45</v>
      </c>
      <c r="AF11" s="25" t="s">
        <v>45</v>
      </c>
      <c r="AG11" s="29" t="n">
        <f aca="false">COUNTIF($B11:$AF11,"A")+COUNTIF($B11:$AF11,"B")+COUNTIF($B11:$AF11,"式")</f>
        <v>22</v>
      </c>
      <c r="AH11" s="29" t="n">
        <f aca="false">COUNTIF($B11:$AF11,"休")+COUNTIF($B11:$AF11,"×")</f>
        <v>9</v>
      </c>
      <c r="AI11" s="29" t="n">
        <f aca="false">COUNTIF($B11:$AF11,"A")</f>
        <v>10</v>
      </c>
      <c r="AJ11" s="29" t="n">
        <f aca="false">COUNTIF($B11:$AF11,"B")</f>
        <v>12</v>
      </c>
      <c r="AK11" s="29" t="n">
        <f aca="false">SUMPRODUCT(($B$6:$AF$6="●")*($B11:$AF11="休"))</f>
        <v>2</v>
      </c>
    </row>
    <row r="12" customFormat="false" ht="19.5" hidden="false" customHeight="true" outlineLevel="0" collapsed="false">
      <c r="A12" s="24" t="s">
        <v>65</v>
      </c>
      <c r="B12" s="25" t="s">
        <v>45</v>
      </c>
      <c r="C12" s="27" t="s">
        <v>59</v>
      </c>
      <c r="D12" s="27" t="s">
        <v>59</v>
      </c>
      <c r="E12" s="25" t="s">
        <v>45</v>
      </c>
      <c r="F12" s="25" t="s">
        <v>45</v>
      </c>
      <c r="G12" s="25" t="s">
        <v>45</v>
      </c>
      <c r="H12" s="25" t="s">
        <v>45</v>
      </c>
      <c r="I12" s="27" t="s">
        <v>59</v>
      </c>
      <c r="J12" s="26" t="s">
        <v>46</v>
      </c>
      <c r="K12" s="26" t="s">
        <v>46</v>
      </c>
      <c r="L12" s="26" t="s">
        <v>46</v>
      </c>
      <c r="M12" s="28" t="s">
        <v>60</v>
      </c>
      <c r="N12" s="26" t="s">
        <v>46</v>
      </c>
      <c r="O12" s="26" t="s">
        <v>46</v>
      </c>
      <c r="P12" s="26" t="s">
        <v>46</v>
      </c>
      <c r="Q12" s="27" t="s">
        <v>59</v>
      </c>
      <c r="R12" s="25" t="s">
        <v>45</v>
      </c>
      <c r="S12" s="26" t="s">
        <v>46</v>
      </c>
      <c r="T12" s="26" t="s">
        <v>46</v>
      </c>
      <c r="U12" s="27" t="s">
        <v>59</v>
      </c>
      <c r="V12" s="27" t="s">
        <v>59</v>
      </c>
      <c r="W12" s="25" t="s">
        <v>45</v>
      </c>
      <c r="X12" s="25" t="s">
        <v>45</v>
      </c>
      <c r="Y12" s="25" t="s">
        <v>45</v>
      </c>
      <c r="Z12" s="25" t="s">
        <v>45</v>
      </c>
      <c r="AA12" s="27" t="s">
        <v>59</v>
      </c>
      <c r="AB12" s="26" t="s">
        <v>46</v>
      </c>
      <c r="AC12" s="26" t="s">
        <v>46</v>
      </c>
      <c r="AD12" s="26" t="s">
        <v>46</v>
      </c>
      <c r="AE12" s="26" t="s">
        <v>46</v>
      </c>
      <c r="AF12" s="27" t="s">
        <v>59</v>
      </c>
      <c r="AG12" s="29" t="n">
        <f aca="false">COUNTIF($B12:$AF12,"A")+COUNTIF($B12:$AF12,"B")+COUNTIF($B12:$AF12,"式")</f>
        <v>22</v>
      </c>
      <c r="AH12" s="29" t="n">
        <f aca="false">COUNTIF($B12:$AF12,"休")+COUNTIF($B12:$AF12,"×")</f>
        <v>9</v>
      </c>
      <c r="AI12" s="29" t="n">
        <f aca="false">COUNTIF($B12:$AF12,"A")</f>
        <v>10</v>
      </c>
      <c r="AJ12" s="29" t="n">
        <f aca="false">COUNTIF($B12:$AF12,"B")</f>
        <v>12</v>
      </c>
      <c r="AK12" s="29" t="n">
        <f aca="false">SUMPRODUCT(($B$6:$AF$6="●")*($B12:$AF12="休"))</f>
        <v>2</v>
      </c>
    </row>
    <row r="13" customFormat="false" ht="19.5" hidden="false" customHeight="true" outlineLevel="0" collapsed="false">
      <c r="A13" s="24" t="s">
        <v>66</v>
      </c>
      <c r="B13" s="26" t="s">
        <v>46</v>
      </c>
      <c r="C13" s="27" t="s">
        <v>59</v>
      </c>
      <c r="D13" s="25" t="s">
        <v>45</v>
      </c>
      <c r="E13" s="25" t="s">
        <v>45</v>
      </c>
      <c r="F13" s="25" t="s">
        <v>45</v>
      </c>
      <c r="G13" s="27" t="s">
        <v>59</v>
      </c>
      <c r="H13" s="25" t="s">
        <v>45</v>
      </c>
      <c r="I13" s="25" t="s">
        <v>45</v>
      </c>
      <c r="J13" s="26" t="s">
        <v>46</v>
      </c>
      <c r="K13" s="26" t="s">
        <v>46</v>
      </c>
      <c r="L13" s="27" t="s">
        <v>59</v>
      </c>
      <c r="M13" s="28" t="s">
        <v>60</v>
      </c>
      <c r="N13" s="26" t="s">
        <v>46</v>
      </c>
      <c r="O13" s="26" t="s">
        <v>46</v>
      </c>
      <c r="P13" s="26" t="s">
        <v>46</v>
      </c>
      <c r="Q13" s="26" t="s">
        <v>46</v>
      </c>
      <c r="R13" s="27" t="s">
        <v>59</v>
      </c>
      <c r="S13" s="27" t="s">
        <v>59</v>
      </c>
      <c r="T13" s="26" t="s">
        <v>46</v>
      </c>
      <c r="U13" s="26" t="s">
        <v>46</v>
      </c>
      <c r="V13" s="26" t="s">
        <v>46</v>
      </c>
      <c r="W13" s="27" t="s">
        <v>59</v>
      </c>
      <c r="X13" s="25" t="s">
        <v>45</v>
      </c>
      <c r="Y13" s="25" t="s">
        <v>45</v>
      </c>
      <c r="Z13" s="25" t="s">
        <v>45</v>
      </c>
      <c r="AA13" s="27" t="s">
        <v>59</v>
      </c>
      <c r="AB13" s="27" t="s">
        <v>59</v>
      </c>
      <c r="AC13" s="25" t="s">
        <v>45</v>
      </c>
      <c r="AD13" s="25" t="s">
        <v>45</v>
      </c>
      <c r="AE13" s="26" t="s">
        <v>46</v>
      </c>
      <c r="AF13" s="26" t="s">
        <v>46</v>
      </c>
      <c r="AG13" s="29" t="n">
        <f aca="false">COUNTIF($B13:$AF13,"A")+COUNTIF($B13:$AF13,"B")+COUNTIF($B13:$AF13,"式")</f>
        <v>22</v>
      </c>
      <c r="AH13" s="29" t="n">
        <f aca="false">COUNTIF($B13:$AF13,"休")+COUNTIF($B13:$AF13,"×")</f>
        <v>9</v>
      </c>
      <c r="AI13" s="29" t="n">
        <f aca="false">COUNTIF($B13:$AF13,"A")</f>
        <v>10</v>
      </c>
      <c r="AJ13" s="29" t="n">
        <f aca="false">COUNTIF($B13:$AF13,"B")</f>
        <v>12</v>
      </c>
      <c r="AK13" s="29" t="n">
        <f aca="false">SUMPRODUCT(($B$6:$AF$6="●")*($B13:$AF13="休"))</f>
        <v>3</v>
      </c>
    </row>
    <row r="14" customFormat="false" ht="19.5" hidden="false" customHeight="true" outlineLevel="0" collapsed="false">
      <c r="A14" s="24" t="s">
        <v>67</v>
      </c>
      <c r="B14" s="25" t="s">
        <v>45</v>
      </c>
      <c r="C14" s="26" t="s">
        <v>46</v>
      </c>
      <c r="D14" s="26" t="s">
        <v>46</v>
      </c>
      <c r="E14" s="27" t="s">
        <v>59</v>
      </c>
      <c r="F14" s="26" t="s">
        <v>46</v>
      </c>
      <c r="G14" s="26" t="s">
        <v>46</v>
      </c>
      <c r="H14" s="26" t="s">
        <v>46</v>
      </c>
      <c r="I14" s="26" t="s">
        <v>46</v>
      </c>
      <c r="J14" s="27" t="s">
        <v>59</v>
      </c>
      <c r="K14" s="25" t="s">
        <v>45</v>
      </c>
      <c r="L14" s="25" t="s">
        <v>45</v>
      </c>
      <c r="M14" s="28" t="s">
        <v>60</v>
      </c>
      <c r="N14" s="25" t="s">
        <v>45</v>
      </c>
      <c r="O14" s="25" t="s">
        <v>45</v>
      </c>
      <c r="P14" s="27" t="s">
        <v>59</v>
      </c>
      <c r="Q14" s="25" t="s">
        <v>45</v>
      </c>
      <c r="R14" s="25" t="s">
        <v>45</v>
      </c>
      <c r="S14" s="25" t="s">
        <v>45</v>
      </c>
      <c r="T14" s="25" t="s">
        <v>45</v>
      </c>
      <c r="U14" s="27" t="s">
        <v>59</v>
      </c>
      <c r="V14" s="27" t="s">
        <v>59</v>
      </c>
      <c r="W14" s="26" t="s">
        <v>46</v>
      </c>
      <c r="X14" s="26" t="s">
        <v>46</v>
      </c>
      <c r="Y14" s="26" t="s">
        <v>46</v>
      </c>
      <c r="Z14" s="26" t="s">
        <v>46</v>
      </c>
      <c r="AA14" s="27" t="s">
        <v>59</v>
      </c>
      <c r="AB14" s="26" t="s">
        <v>46</v>
      </c>
      <c r="AC14" s="26" t="s">
        <v>46</v>
      </c>
      <c r="AD14" s="27" t="s">
        <v>59</v>
      </c>
      <c r="AE14" s="27" t="s">
        <v>59</v>
      </c>
      <c r="AF14" s="25" t="s">
        <v>45</v>
      </c>
      <c r="AG14" s="29" t="n">
        <f aca="false">COUNTIF($B14:$AF14,"A")+COUNTIF($B14:$AF14,"B")+COUNTIF($B14:$AF14,"式")</f>
        <v>22</v>
      </c>
      <c r="AH14" s="29" t="n">
        <f aca="false">COUNTIF($B14:$AF14,"休")+COUNTIF($B14:$AF14,"×")</f>
        <v>9</v>
      </c>
      <c r="AI14" s="29" t="n">
        <f aca="false">COUNTIF($B14:$AF14,"A")</f>
        <v>10</v>
      </c>
      <c r="AJ14" s="29" t="n">
        <f aca="false">COUNTIF($B14:$AF14,"B")</f>
        <v>12</v>
      </c>
      <c r="AK14" s="29" t="n">
        <f aca="false">SUMPRODUCT(($B$6:$AF$6="●")*($B14:$AF14="休"))</f>
        <v>1</v>
      </c>
    </row>
    <row r="15" customFormat="false" ht="19.5" hidden="false" customHeight="true" outlineLevel="0" collapsed="false">
      <c r="A15" s="24" t="s">
        <v>68</v>
      </c>
      <c r="B15" s="26" t="s">
        <v>46</v>
      </c>
      <c r="C15" s="26" t="s">
        <v>46</v>
      </c>
      <c r="D15" s="27" t="s">
        <v>59</v>
      </c>
      <c r="E15" s="26" t="s">
        <v>46</v>
      </c>
      <c r="F15" s="26" t="s">
        <v>46</v>
      </c>
      <c r="G15" s="26" t="s">
        <v>46</v>
      </c>
      <c r="H15" s="26" t="s">
        <v>46</v>
      </c>
      <c r="I15" s="27" t="s">
        <v>59</v>
      </c>
      <c r="J15" s="27" t="s">
        <v>59</v>
      </c>
      <c r="K15" s="25" t="s">
        <v>45</v>
      </c>
      <c r="L15" s="25" t="s">
        <v>45</v>
      </c>
      <c r="M15" s="28" t="s">
        <v>60</v>
      </c>
      <c r="N15" s="25" t="s">
        <v>45</v>
      </c>
      <c r="O15" s="25" t="s">
        <v>45</v>
      </c>
      <c r="P15" s="25" t="s">
        <v>45</v>
      </c>
      <c r="Q15" s="27" t="s">
        <v>59</v>
      </c>
      <c r="R15" s="25" t="s">
        <v>45</v>
      </c>
      <c r="S15" s="25" t="s">
        <v>45</v>
      </c>
      <c r="T15" s="27" t="s">
        <v>59</v>
      </c>
      <c r="U15" s="25" t="s">
        <v>45</v>
      </c>
      <c r="V15" s="25" t="s">
        <v>45</v>
      </c>
      <c r="W15" s="25" t="s">
        <v>45</v>
      </c>
      <c r="X15" s="26" t="s">
        <v>46</v>
      </c>
      <c r="Y15" s="27" t="s">
        <v>59</v>
      </c>
      <c r="Z15" s="27" t="s">
        <v>59</v>
      </c>
      <c r="AA15" s="26" t="s">
        <v>46</v>
      </c>
      <c r="AB15" s="26" t="s">
        <v>46</v>
      </c>
      <c r="AC15" s="27" t="s">
        <v>59</v>
      </c>
      <c r="AD15" s="26" t="s">
        <v>46</v>
      </c>
      <c r="AE15" s="26" t="s">
        <v>46</v>
      </c>
      <c r="AF15" s="26" t="s">
        <v>46</v>
      </c>
      <c r="AG15" s="29" t="n">
        <f aca="false">COUNTIF($B15:$AF15,"A")+COUNTIF($B15:$AF15,"B")+COUNTIF($B15:$AF15,"式")</f>
        <v>22</v>
      </c>
      <c r="AH15" s="29" t="n">
        <f aca="false">COUNTIF($B15:$AF15,"休")+COUNTIF($B15:$AF15,"×")</f>
        <v>9</v>
      </c>
      <c r="AI15" s="29" t="n">
        <f aca="false">COUNTIF($B15:$AF15,"A")</f>
        <v>10</v>
      </c>
      <c r="AJ15" s="29" t="n">
        <f aca="false">COUNTIF($B15:$AF15,"B")</f>
        <v>12</v>
      </c>
      <c r="AK15" s="29" t="n">
        <f aca="false">SUMPRODUCT(($B$6:$AF$6="●")*($B15:$AF15="休"))</f>
        <v>3</v>
      </c>
    </row>
    <row r="16" customFormat="false" ht="15" hidden="false" customHeight="false" outlineLevel="0" collapsed="false">
      <c r="A16" s="30" t="s">
        <v>69</v>
      </c>
      <c r="B16" s="15" t="n">
        <f aca="false">COUNTIF(B$7:B$15,"A")+COUNTIF(B$7:B$15,"B")+COUNTIF(B$7:B$15,"式")</f>
        <v>9</v>
      </c>
      <c r="C16" s="15" t="n">
        <f aca="false">COUNTIF(C$7:C$15,"A")+COUNTIF(C$7:C$15,"B")+COUNTIF(C$7:C$15,"式")</f>
        <v>6</v>
      </c>
      <c r="D16" s="15" t="n">
        <f aca="false">COUNTIF(D$7:D$15,"A")+COUNTIF(D$7:D$15,"B")+COUNTIF(D$7:D$15,"式")</f>
        <v>7</v>
      </c>
      <c r="E16" s="15" t="n">
        <f aca="false">COUNTIF(E$7:E$15,"A")+COUNTIF(E$7:E$15,"B")+COUNTIF(E$7:E$15,"式")</f>
        <v>7</v>
      </c>
      <c r="F16" s="15" t="n">
        <f aca="false">COUNTIF(F$7:F$15,"A")+COUNTIF(F$7:F$15,"B")+COUNTIF(F$7:F$15,"式")</f>
        <v>6</v>
      </c>
      <c r="G16" s="15" t="n">
        <f aca="false">COUNTIF(G$7:G$15,"A")+COUNTIF(G$7:G$15,"B")+COUNTIF(G$7:G$15,"式")</f>
        <v>6</v>
      </c>
      <c r="H16" s="15" t="n">
        <f aca="false">COUNTIF(H$7:H$15,"A")+COUNTIF(H$7:H$15,"B")+COUNTIF(H$7:H$15,"式")</f>
        <v>8</v>
      </c>
      <c r="I16" s="15" t="n">
        <f aca="false">COUNTIF(I$7:I$15,"A")+COUNTIF(I$7:I$15,"B")+COUNTIF(I$7:I$15,"式")</f>
        <v>6</v>
      </c>
      <c r="J16" s="15" t="n">
        <f aca="false">COUNTIF(J$7:J$15,"A")+COUNTIF(J$7:J$15,"B")+COUNTIF(J$7:J$15,"式")</f>
        <v>6</v>
      </c>
      <c r="K16" s="15" t="n">
        <f aca="false">COUNTIF(K$7:K$15,"A")+COUNTIF(K$7:K$15,"B")+COUNTIF(K$7:K$15,"式")</f>
        <v>6</v>
      </c>
      <c r="L16" s="15" t="n">
        <f aca="false">COUNTIF(L$7:L$15,"A")+COUNTIF(L$7:L$15,"B")+COUNTIF(L$7:L$15,"式")</f>
        <v>7</v>
      </c>
      <c r="M16" s="15" t="n">
        <f aca="false">COUNTIF(M$7:M$15,"A")+COUNTIF(M$7:M$15,"B")+COUNTIF(M$7:M$15,"式")</f>
        <v>0</v>
      </c>
      <c r="N16" s="15" t="n">
        <f aca="false">COUNTIF(N$7:N$15,"A")+COUNTIF(N$7:N$15,"B")+COUNTIF(N$7:N$15,"式")</f>
        <v>8</v>
      </c>
      <c r="O16" s="15" t="n">
        <f aca="false">COUNTIF(O$7:O$15,"A")+COUNTIF(O$7:O$15,"B")+COUNTIF(O$7:O$15,"式")</f>
        <v>7</v>
      </c>
      <c r="P16" s="15" t="n">
        <f aca="false">COUNTIF(P$7:P$15,"A")+COUNTIF(P$7:P$15,"B")+COUNTIF(P$7:P$15,"式")</f>
        <v>7</v>
      </c>
      <c r="Q16" s="15" t="n">
        <f aca="false">COUNTIF(Q$7:Q$15,"A")+COUNTIF(Q$7:Q$15,"B")+COUNTIF(Q$7:Q$15,"式")</f>
        <v>6</v>
      </c>
      <c r="R16" s="15" t="n">
        <f aca="false">COUNTIF(R$7:R$15,"A")+COUNTIF(R$7:R$15,"B")+COUNTIF(R$7:R$15,"式")</f>
        <v>6</v>
      </c>
      <c r="S16" s="15" t="n">
        <f aca="false">COUNTIF(S$7:S$15,"A")+COUNTIF(S$7:S$15,"B")+COUNTIF(S$7:S$15,"式")</f>
        <v>6</v>
      </c>
      <c r="T16" s="15" t="n">
        <f aca="false">COUNTIF(T$7:T$15,"A")+COUNTIF(T$7:T$15,"B")+COUNTIF(T$7:T$15,"式")</f>
        <v>6</v>
      </c>
      <c r="U16" s="15" t="n">
        <f aca="false">COUNTIF(U$7:U$15,"A")+COUNTIF(U$7:U$15,"B")+COUNTIF(U$7:U$15,"式")</f>
        <v>6</v>
      </c>
      <c r="V16" s="15" t="n">
        <f aca="false">COUNTIF(V$7:V$15,"A")+COUNTIF(V$7:V$15,"B")+COUNTIF(V$7:V$15,"式")</f>
        <v>7</v>
      </c>
      <c r="W16" s="15" t="n">
        <f aca="false">COUNTIF(W$7:W$15,"A")+COUNTIF(W$7:W$15,"B")+COUNTIF(W$7:W$15,"式")</f>
        <v>6</v>
      </c>
      <c r="X16" s="15" t="n">
        <f aca="false">COUNTIF(X$7:X$15,"A")+COUNTIF(X$7:X$15,"B")+COUNTIF(X$7:X$15,"式")</f>
        <v>7</v>
      </c>
      <c r="Y16" s="15" t="n">
        <f aca="false">COUNTIF(Y$7:Y$15,"A")+COUNTIF(Y$7:Y$15,"B")+COUNTIF(Y$7:Y$15,"式")</f>
        <v>7</v>
      </c>
      <c r="Z16" s="15" t="n">
        <f aca="false">COUNTIF(Z$7:Z$15,"A")+COUNTIF(Z$7:Z$15,"B")+COUNTIF(Z$7:Z$15,"式")</f>
        <v>6</v>
      </c>
      <c r="AA16" s="15" t="n">
        <f aca="false">COUNTIF(AA$7:AA$15,"A")+COUNTIF(AA$7:AA$15,"B")+COUNTIF(AA$7:AA$15,"式")</f>
        <v>6</v>
      </c>
      <c r="AB16" s="15" t="n">
        <f aca="false">COUNTIF(AB$7:AB$15,"A")+COUNTIF(AB$7:AB$15,"B")+COUNTIF(AB$7:AB$15,"式")</f>
        <v>6</v>
      </c>
      <c r="AC16" s="15" t="n">
        <f aca="false">COUNTIF(AC$7:AC$15,"A")+COUNTIF(AC$7:AC$15,"B")+COUNTIF(AC$7:AC$15,"式")</f>
        <v>6</v>
      </c>
      <c r="AD16" s="15" t="n">
        <f aca="false">COUNTIF(AD$7:AD$15,"A")+COUNTIF(AD$7:AD$15,"B")+COUNTIF(AD$7:AD$15,"式")</f>
        <v>6</v>
      </c>
      <c r="AE16" s="15" t="n">
        <f aca="false">COUNTIF(AE$7:AE$15,"A")+COUNTIF(AE$7:AE$15,"B")+COUNTIF(AE$7:AE$15,"式")</f>
        <v>7</v>
      </c>
      <c r="AF16" s="15" t="n">
        <f aca="false">COUNTIF(AF$7:AF$15,"A")+COUNTIF(AF$7:AF$15,"B")+COUNTIF(AF$7:AF$15,"式")</f>
        <v>8</v>
      </c>
      <c r="AG16" s="31" t="n">
        <f aca="false">SUM(B16:AF16)</f>
        <v>198</v>
      </c>
    </row>
    <row r="17" customFormat="false" ht="15" hidden="false" customHeight="false" outlineLevel="0" collapsed="false">
      <c r="A17" s="32" t="s">
        <v>70</v>
      </c>
      <c r="B17" s="33" t="n">
        <f aca="false">COUNTIF(B$7:B$15,"A")</f>
        <v>4</v>
      </c>
      <c r="C17" s="33" t="n">
        <f aca="false">COUNTIF(C$7:C$15,"A")</f>
        <v>2</v>
      </c>
      <c r="D17" s="33" t="n">
        <f aca="false">COUNTIF(D$7:D$15,"A")</f>
        <v>4</v>
      </c>
      <c r="E17" s="33" t="n">
        <f aca="false">COUNTIF(E$7:E$15,"A")</f>
        <v>4</v>
      </c>
      <c r="F17" s="33" t="n">
        <f aca="false">COUNTIF(F$7:F$15,"A")</f>
        <v>2</v>
      </c>
      <c r="G17" s="33" t="n">
        <f aca="false">COUNTIF(G$7:G$15,"A")</f>
        <v>2</v>
      </c>
      <c r="H17" s="33" t="n">
        <f aca="false">COUNTIF(H$7:H$15,"A")</f>
        <v>3</v>
      </c>
      <c r="I17" s="33" t="n">
        <f aca="false">COUNTIF(I$7:I$15,"A")</f>
        <v>2</v>
      </c>
      <c r="J17" s="33" t="n">
        <f aca="false">COUNTIF(J$7:J$15,"A")</f>
        <v>2</v>
      </c>
      <c r="K17" s="33" t="n">
        <f aca="false">COUNTIF(K$7:K$15,"A")</f>
        <v>4</v>
      </c>
      <c r="L17" s="33" t="n">
        <f aca="false">COUNTIF(L$7:L$15,"A")</f>
        <v>4</v>
      </c>
      <c r="M17" s="33" t="n">
        <f aca="false">COUNTIF(M$7:M$15,"A")</f>
        <v>0</v>
      </c>
      <c r="N17" s="33" t="n">
        <f aca="false">COUNTIF(N$7:N$15,"A")</f>
        <v>3</v>
      </c>
      <c r="O17" s="33" t="n">
        <f aca="false">COUNTIF(O$7:O$15,"A")</f>
        <v>3</v>
      </c>
      <c r="P17" s="33" t="n">
        <f aca="false">COUNTIF(P$7:P$15,"A")</f>
        <v>3</v>
      </c>
      <c r="Q17" s="33" t="n">
        <f aca="false">COUNTIF(Q$7:Q$15,"A")</f>
        <v>2</v>
      </c>
      <c r="R17" s="33" t="n">
        <f aca="false">COUNTIF(R$7:R$15,"A")</f>
        <v>4</v>
      </c>
      <c r="S17" s="33" t="n">
        <f aca="false">COUNTIF(S$7:S$15,"A")</f>
        <v>4</v>
      </c>
      <c r="T17" s="33" t="n">
        <f aca="false">COUNTIF(T$7:T$15,"A")</f>
        <v>2</v>
      </c>
      <c r="U17" s="33" t="n">
        <f aca="false">COUNTIF(U$7:U$15,"A")</f>
        <v>2</v>
      </c>
      <c r="V17" s="33" t="n">
        <f aca="false">COUNTIF(V$7:V$15,"A")</f>
        <v>3</v>
      </c>
      <c r="W17" s="33" t="n">
        <f aca="false">COUNTIF(W$7:W$15,"A")</f>
        <v>2</v>
      </c>
      <c r="X17" s="33" t="n">
        <f aca="false">COUNTIF(X$7:X$15,"A")</f>
        <v>3</v>
      </c>
      <c r="Y17" s="33" t="n">
        <f aca="false">COUNTIF(Y$7:Y$15,"A")</f>
        <v>4</v>
      </c>
      <c r="Z17" s="33" t="n">
        <f aca="false">COUNTIF(Z$7:Z$15,"A")</f>
        <v>4</v>
      </c>
      <c r="AA17" s="33" t="n">
        <f aca="false">COUNTIF(AA$7:AA$15,"A")</f>
        <v>2</v>
      </c>
      <c r="AB17" s="33" t="n">
        <f aca="false">COUNTIF(AB$7:AB$15,"A")</f>
        <v>2</v>
      </c>
      <c r="AC17" s="33" t="n">
        <f aca="false">COUNTIF(AC$7:AC$15,"A")</f>
        <v>2</v>
      </c>
      <c r="AD17" s="33" t="n">
        <f aca="false">COUNTIF(AD$7:AD$15,"A")</f>
        <v>2</v>
      </c>
      <c r="AE17" s="33" t="n">
        <f aca="false">COUNTIF(AE$7:AE$15,"A")</f>
        <v>3</v>
      </c>
      <c r="AF17" s="33" t="n">
        <f aca="false">COUNTIF(AF$7:AF$15,"A")</f>
        <v>5</v>
      </c>
      <c r="AG17" s="31" t="n">
        <f aca="false">SUM(B17:AF17)</f>
        <v>88</v>
      </c>
    </row>
    <row r="18" customFormat="false" ht="15" hidden="false" customHeight="false" outlineLevel="0" collapsed="false">
      <c r="A18" s="32" t="s">
        <v>71</v>
      </c>
      <c r="B18" s="33" t="n">
        <f aca="false">COUNTIF(B$7:B$15,"B")</f>
        <v>5</v>
      </c>
      <c r="C18" s="33" t="n">
        <f aca="false">COUNTIF(C$7:C$15,"B")</f>
        <v>4</v>
      </c>
      <c r="D18" s="33" t="n">
        <f aca="false">COUNTIF(D$7:D$15,"B")</f>
        <v>3</v>
      </c>
      <c r="E18" s="33" t="n">
        <f aca="false">COUNTIF(E$7:E$15,"B")</f>
        <v>3</v>
      </c>
      <c r="F18" s="33" t="n">
        <f aca="false">COUNTIF(F$7:F$15,"B")</f>
        <v>4</v>
      </c>
      <c r="G18" s="33" t="n">
        <f aca="false">COUNTIF(G$7:G$15,"B")</f>
        <v>4</v>
      </c>
      <c r="H18" s="33" t="n">
        <f aca="false">COUNTIF(H$7:H$15,"B")</f>
        <v>5</v>
      </c>
      <c r="I18" s="33" t="n">
        <f aca="false">COUNTIF(I$7:I$15,"B")</f>
        <v>4</v>
      </c>
      <c r="J18" s="33" t="n">
        <f aca="false">COUNTIF(J$7:J$15,"B")</f>
        <v>4</v>
      </c>
      <c r="K18" s="33" t="n">
        <f aca="false">COUNTIF(K$7:K$15,"B")</f>
        <v>2</v>
      </c>
      <c r="L18" s="33" t="n">
        <f aca="false">COUNTIF(L$7:L$15,"B")</f>
        <v>3</v>
      </c>
      <c r="M18" s="33" t="n">
        <f aca="false">COUNTIF(M$7:M$15,"B")</f>
        <v>0</v>
      </c>
      <c r="N18" s="33" t="n">
        <f aca="false">COUNTIF(N$7:N$15,"B")</f>
        <v>5</v>
      </c>
      <c r="O18" s="33" t="n">
        <f aca="false">COUNTIF(O$7:O$15,"B")</f>
        <v>4</v>
      </c>
      <c r="P18" s="33" t="n">
        <f aca="false">COUNTIF(P$7:P$15,"B")</f>
        <v>4</v>
      </c>
      <c r="Q18" s="33" t="n">
        <f aca="false">COUNTIF(Q$7:Q$15,"B")</f>
        <v>4</v>
      </c>
      <c r="R18" s="33" t="n">
        <f aca="false">COUNTIF(R$7:R$15,"B")</f>
        <v>2</v>
      </c>
      <c r="S18" s="33" t="n">
        <f aca="false">COUNTIF(S$7:S$15,"B")</f>
        <v>2</v>
      </c>
      <c r="T18" s="33" t="n">
        <f aca="false">COUNTIF(T$7:T$15,"B")</f>
        <v>4</v>
      </c>
      <c r="U18" s="33" t="n">
        <f aca="false">COUNTIF(U$7:U$15,"B")</f>
        <v>4</v>
      </c>
      <c r="V18" s="33" t="n">
        <f aca="false">COUNTIF(V$7:V$15,"B")</f>
        <v>4</v>
      </c>
      <c r="W18" s="33" t="n">
        <f aca="false">COUNTIF(W$7:W$15,"B")</f>
        <v>4</v>
      </c>
      <c r="X18" s="33" t="n">
        <f aca="false">COUNTIF(X$7:X$15,"B")</f>
        <v>4</v>
      </c>
      <c r="Y18" s="33" t="n">
        <f aca="false">COUNTIF(Y$7:Y$15,"B")</f>
        <v>3</v>
      </c>
      <c r="Z18" s="33" t="n">
        <f aca="false">COUNTIF(Z$7:Z$15,"B")</f>
        <v>2</v>
      </c>
      <c r="AA18" s="33" t="n">
        <f aca="false">COUNTIF(AA$7:AA$15,"B")</f>
        <v>4</v>
      </c>
      <c r="AB18" s="33" t="n">
        <f aca="false">COUNTIF(AB$7:AB$15,"B")</f>
        <v>4</v>
      </c>
      <c r="AC18" s="33" t="n">
        <f aca="false">COUNTIF(AC$7:AC$15,"B")</f>
        <v>4</v>
      </c>
      <c r="AD18" s="33" t="n">
        <f aca="false">COUNTIF(AD$7:AD$15,"B")</f>
        <v>4</v>
      </c>
      <c r="AE18" s="33" t="n">
        <f aca="false">COUNTIF(AE$7:AE$15,"B")</f>
        <v>4</v>
      </c>
      <c r="AF18" s="33" t="n">
        <f aca="false">COUNTIF(AF$7:AF$15,"B")</f>
        <v>3</v>
      </c>
      <c r="AG18" s="31" t="n">
        <f aca="false">SUM(B18:AF18)</f>
        <v>110</v>
      </c>
    </row>
    <row r="20" customFormat="false" ht="15" hidden="false" customHeight="false" outlineLevel="0" collapsed="false">
      <c r="A20" s="12" t="s">
        <v>75</v>
      </c>
    </row>
    <row r="21" customFormat="false" ht="15" hidden="false" customHeight="false" outlineLevel="0" collapsed="false">
      <c r="A21" s="1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3.61"/>
    <col collapsed="false" customWidth="true" hidden="false" outlineLevel="0" max="35" min="32" style="0" width="6.51"/>
    <col collapsed="false" customWidth="true" hidden="false" outlineLevel="0" max="36" min="36" style="0" width="8"/>
  </cols>
  <sheetData>
    <row r="1" customFormat="false" ht="21.6" hidden="false" customHeight="false" outlineLevel="0" collapsed="false">
      <c r="A1" s="1" t="s">
        <v>77</v>
      </c>
    </row>
    <row r="2" customFormat="false" ht="15" hidden="false" customHeight="false" outlineLevel="0" collapsed="false">
      <c r="A2" s="11" t="s">
        <v>40</v>
      </c>
    </row>
    <row r="3" customFormat="false" ht="15" hidden="false" customHeight="false" outlineLevel="0" collapsed="false">
      <c r="A3" s="12" t="s">
        <v>41</v>
      </c>
    </row>
    <row r="4" customFormat="false" ht="15" hidden="false" customHeight="false" outlineLevel="0" collapsed="false">
      <c r="A4" s="13" t="s">
        <v>42</v>
      </c>
      <c r="B4" s="13" t="n">
        <v>1</v>
      </c>
      <c r="C4" s="13" t="n">
        <v>2</v>
      </c>
      <c r="D4" s="13" t="n">
        <v>3</v>
      </c>
      <c r="E4" s="13" t="n">
        <v>4</v>
      </c>
      <c r="F4" s="13" t="n">
        <v>5</v>
      </c>
      <c r="G4" s="13" t="n">
        <v>6</v>
      </c>
      <c r="H4" s="13" t="n">
        <v>7</v>
      </c>
      <c r="I4" s="13" t="n">
        <v>8</v>
      </c>
      <c r="J4" s="13" t="n">
        <v>9</v>
      </c>
      <c r="K4" s="13" t="n">
        <v>10</v>
      </c>
      <c r="L4" s="13" t="n">
        <v>11</v>
      </c>
      <c r="M4" s="13" t="n">
        <v>12</v>
      </c>
      <c r="N4" s="13" t="n">
        <v>13</v>
      </c>
      <c r="O4" s="13" t="n">
        <v>14</v>
      </c>
      <c r="P4" s="13" t="n">
        <v>15</v>
      </c>
      <c r="Q4" s="13" t="n">
        <v>16</v>
      </c>
      <c r="R4" s="13" t="n">
        <v>17</v>
      </c>
      <c r="S4" s="13" t="n">
        <v>18</v>
      </c>
      <c r="T4" s="13" t="n">
        <v>19</v>
      </c>
      <c r="U4" s="13" t="n">
        <v>20</v>
      </c>
      <c r="V4" s="13" t="n">
        <v>21</v>
      </c>
      <c r="W4" s="13" t="n">
        <v>22</v>
      </c>
      <c r="X4" s="13" t="n">
        <v>23</v>
      </c>
      <c r="Y4" s="13" t="n">
        <v>24</v>
      </c>
      <c r="Z4" s="13" t="n">
        <v>25</v>
      </c>
      <c r="AA4" s="13" t="n">
        <v>26</v>
      </c>
      <c r="AB4" s="13" t="n">
        <v>27</v>
      </c>
      <c r="AC4" s="13" t="n">
        <v>28</v>
      </c>
      <c r="AD4" s="13" t="n">
        <v>29</v>
      </c>
      <c r="AE4" s="13" t="n">
        <v>30</v>
      </c>
      <c r="AF4" s="13" t="s">
        <v>43</v>
      </c>
      <c r="AG4" s="13" t="s">
        <v>44</v>
      </c>
      <c r="AH4" s="14" t="s">
        <v>45</v>
      </c>
      <c r="AI4" s="14" t="s">
        <v>46</v>
      </c>
      <c r="AJ4" s="13" t="s">
        <v>47</v>
      </c>
    </row>
    <row r="5" customFormat="false" ht="15" hidden="false" customHeight="false" outlineLevel="0" collapsed="false">
      <c r="A5" s="15" t="s">
        <v>48</v>
      </c>
      <c r="B5" s="17" t="s">
        <v>54</v>
      </c>
      <c r="C5" s="15" t="s">
        <v>55</v>
      </c>
      <c r="D5" s="17" t="s">
        <v>49</v>
      </c>
      <c r="E5" s="15" t="s">
        <v>50</v>
      </c>
      <c r="F5" s="15" t="s">
        <v>51</v>
      </c>
      <c r="G5" s="15" t="s">
        <v>52</v>
      </c>
      <c r="H5" s="16" t="s">
        <v>53</v>
      </c>
      <c r="I5" s="17" t="s">
        <v>54</v>
      </c>
      <c r="J5" s="15" t="s">
        <v>55</v>
      </c>
      <c r="K5" s="15" t="s">
        <v>49</v>
      </c>
      <c r="L5" s="15" t="s">
        <v>50</v>
      </c>
      <c r="M5" s="15" t="s">
        <v>51</v>
      </c>
      <c r="N5" s="15" t="s">
        <v>52</v>
      </c>
      <c r="O5" s="16" t="s">
        <v>53</v>
      </c>
      <c r="P5" s="17" t="s">
        <v>54</v>
      </c>
      <c r="Q5" s="15" t="s">
        <v>55</v>
      </c>
      <c r="R5" s="15" t="s">
        <v>49</v>
      </c>
      <c r="S5" s="15" t="s">
        <v>50</v>
      </c>
      <c r="T5" s="15" t="s">
        <v>51</v>
      </c>
      <c r="U5" s="15" t="s">
        <v>52</v>
      </c>
      <c r="V5" s="16" t="s">
        <v>53</v>
      </c>
      <c r="W5" s="17" t="s">
        <v>54</v>
      </c>
      <c r="X5" s="17" t="s">
        <v>55</v>
      </c>
      <c r="Y5" s="15" t="s">
        <v>49</v>
      </c>
      <c r="Z5" s="15" t="s">
        <v>50</v>
      </c>
      <c r="AA5" s="15" t="s">
        <v>51</v>
      </c>
      <c r="AB5" s="15" t="s">
        <v>52</v>
      </c>
      <c r="AC5" s="16" t="s">
        <v>53</v>
      </c>
      <c r="AD5" s="17" t="s">
        <v>54</v>
      </c>
      <c r="AE5" s="15" t="s">
        <v>55</v>
      </c>
      <c r="AF5" s="19"/>
      <c r="AG5" s="19"/>
      <c r="AH5" s="19"/>
      <c r="AI5" s="19"/>
      <c r="AJ5" s="19"/>
    </row>
    <row r="6" customFormat="false" ht="15" hidden="false" customHeight="false" outlineLevel="0" collapsed="false">
      <c r="A6" s="15" t="s">
        <v>56</v>
      </c>
      <c r="B6" s="22" t="s">
        <v>57</v>
      </c>
      <c r="C6" s="20"/>
      <c r="D6" s="22" t="s">
        <v>57</v>
      </c>
      <c r="E6" s="20"/>
      <c r="F6" s="20"/>
      <c r="G6" s="20"/>
      <c r="H6" s="21" t="s">
        <v>57</v>
      </c>
      <c r="I6" s="22" t="s">
        <v>57</v>
      </c>
      <c r="J6" s="20"/>
      <c r="K6" s="20"/>
      <c r="L6" s="20"/>
      <c r="M6" s="20"/>
      <c r="N6" s="20"/>
      <c r="O6" s="21" t="s">
        <v>57</v>
      </c>
      <c r="P6" s="22" t="s">
        <v>57</v>
      </c>
      <c r="Q6" s="20"/>
      <c r="R6" s="20"/>
      <c r="S6" s="20"/>
      <c r="T6" s="20"/>
      <c r="U6" s="20"/>
      <c r="V6" s="21" t="s">
        <v>57</v>
      </c>
      <c r="W6" s="22" t="s">
        <v>57</v>
      </c>
      <c r="X6" s="22" t="s">
        <v>57</v>
      </c>
      <c r="Y6" s="20"/>
      <c r="Z6" s="20"/>
      <c r="AA6" s="20"/>
      <c r="AB6" s="20"/>
      <c r="AC6" s="21" t="s">
        <v>57</v>
      </c>
      <c r="AD6" s="22" t="s">
        <v>57</v>
      </c>
      <c r="AE6" s="20"/>
      <c r="AF6" s="19"/>
      <c r="AG6" s="19"/>
      <c r="AH6" s="19"/>
      <c r="AI6" s="19"/>
      <c r="AJ6" s="19"/>
    </row>
    <row r="7" customFormat="false" ht="19.5" hidden="false" customHeight="true" outlineLevel="0" collapsed="false">
      <c r="A7" s="24" t="s">
        <v>58</v>
      </c>
      <c r="B7" s="27" t="s">
        <v>59</v>
      </c>
      <c r="C7" s="26" t="s">
        <v>46</v>
      </c>
      <c r="D7" s="25" t="s">
        <v>45</v>
      </c>
      <c r="E7" s="27" t="s">
        <v>59</v>
      </c>
      <c r="F7" s="25" t="s">
        <v>45</v>
      </c>
      <c r="G7" s="25" t="s">
        <v>45</v>
      </c>
      <c r="H7" s="25" t="s">
        <v>45</v>
      </c>
      <c r="I7" s="25" t="s">
        <v>45</v>
      </c>
      <c r="J7" s="27" t="s">
        <v>59</v>
      </c>
      <c r="K7" s="27" t="s">
        <v>59</v>
      </c>
      <c r="L7" s="26" t="s">
        <v>46</v>
      </c>
      <c r="M7" s="26" t="s">
        <v>46</v>
      </c>
      <c r="N7" s="26" t="s">
        <v>46</v>
      </c>
      <c r="O7" s="27" t="s">
        <v>59</v>
      </c>
      <c r="P7" s="26" t="s">
        <v>46</v>
      </c>
      <c r="Q7" s="26" t="s">
        <v>46</v>
      </c>
      <c r="R7" s="27" t="s">
        <v>59</v>
      </c>
      <c r="S7" s="26" t="s">
        <v>46</v>
      </c>
      <c r="T7" s="26" t="s">
        <v>46</v>
      </c>
      <c r="U7" s="26" t="s">
        <v>46</v>
      </c>
      <c r="V7" s="27" t="s">
        <v>59</v>
      </c>
      <c r="W7" s="25" t="s">
        <v>45</v>
      </c>
      <c r="X7" s="25" t="s">
        <v>45</v>
      </c>
      <c r="Y7" s="26" t="s">
        <v>46</v>
      </c>
      <c r="Z7" s="26" t="s">
        <v>46</v>
      </c>
      <c r="AA7" s="27" t="s">
        <v>59</v>
      </c>
      <c r="AB7" s="27" t="s">
        <v>59</v>
      </c>
      <c r="AC7" s="25" t="s">
        <v>45</v>
      </c>
      <c r="AD7" s="25" t="s">
        <v>45</v>
      </c>
      <c r="AE7" s="25" t="s">
        <v>45</v>
      </c>
      <c r="AF7" s="29" t="n">
        <f aca="false">COUNTIF($B7:$AE7,"A")+COUNTIF($B7:$AE7,"B")+COUNTIF($B7:$AE7,"式")</f>
        <v>21</v>
      </c>
      <c r="AG7" s="29" t="n">
        <f aca="false">COUNTIF($B7:$AE7,"休")+COUNTIF($B7:$AE7,"×")</f>
        <v>9</v>
      </c>
      <c r="AH7" s="29" t="n">
        <f aca="false">COUNTIF($B7:$AE7,"A")</f>
        <v>10</v>
      </c>
      <c r="AI7" s="29" t="n">
        <f aca="false">COUNTIF($B7:$AE7,"B")</f>
        <v>11</v>
      </c>
      <c r="AJ7" s="29" t="n">
        <f aca="false">SUMPRODUCT(($B$6:$AE$6="●")*($B7:$AE7="休"))</f>
        <v>3</v>
      </c>
    </row>
    <row r="8" customFormat="false" ht="19.5" hidden="false" customHeight="true" outlineLevel="0" collapsed="false">
      <c r="A8" s="24" t="s">
        <v>61</v>
      </c>
      <c r="B8" s="26" t="s">
        <v>46</v>
      </c>
      <c r="C8" s="26" t="s">
        <v>46</v>
      </c>
      <c r="D8" s="27" t="s">
        <v>59</v>
      </c>
      <c r="E8" s="26" t="s">
        <v>46</v>
      </c>
      <c r="F8" s="27" t="s">
        <v>59</v>
      </c>
      <c r="G8" s="27" t="s">
        <v>59</v>
      </c>
      <c r="H8" s="26" t="s">
        <v>46</v>
      </c>
      <c r="I8" s="26" t="s">
        <v>46</v>
      </c>
      <c r="J8" s="26" t="s">
        <v>46</v>
      </c>
      <c r="K8" s="27" t="s">
        <v>59</v>
      </c>
      <c r="L8" s="25" t="s">
        <v>45</v>
      </c>
      <c r="M8" s="25" t="s">
        <v>45</v>
      </c>
      <c r="N8" s="27" t="s">
        <v>59</v>
      </c>
      <c r="O8" s="25" t="s">
        <v>45</v>
      </c>
      <c r="P8" s="25" t="s">
        <v>45</v>
      </c>
      <c r="Q8" s="25" t="s">
        <v>45</v>
      </c>
      <c r="R8" s="25" t="s">
        <v>45</v>
      </c>
      <c r="S8" s="27" t="s">
        <v>59</v>
      </c>
      <c r="T8" s="25" t="s">
        <v>45</v>
      </c>
      <c r="U8" s="25" t="s">
        <v>45</v>
      </c>
      <c r="V8" s="25" t="s">
        <v>45</v>
      </c>
      <c r="W8" s="27" t="s">
        <v>59</v>
      </c>
      <c r="X8" s="25" t="s">
        <v>45</v>
      </c>
      <c r="Y8" s="26" t="s">
        <v>46</v>
      </c>
      <c r="Z8" s="26" t="s">
        <v>46</v>
      </c>
      <c r="AA8" s="26" t="s">
        <v>46</v>
      </c>
      <c r="AB8" s="27" t="s">
        <v>59</v>
      </c>
      <c r="AC8" s="27" t="s">
        <v>59</v>
      </c>
      <c r="AD8" s="26" t="s">
        <v>46</v>
      </c>
      <c r="AE8" s="26" t="s">
        <v>46</v>
      </c>
      <c r="AF8" s="29" t="n">
        <f aca="false">COUNTIF($B8:$AE8,"A")+COUNTIF($B8:$AE8,"B")+COUNTIF($B8:$AE8,"式")</f>
        <v>21</v>
      </c>
      <c r="AG8" s="29" t="n">
        <f aca="false">COUNTIF($B8:$AE8,"休")+COUNTIF($B8:$AE8,"×")</f>
        <v>9</v>
      </c>
      <c r="AH8" s="29" t="n">
        <f aca="false">COUNTIF($B8:$AE8,"A")</f>
        <v>10</v>
      </c>
      <c r="AI8" s="29" t="n">
        <f aca="false">COUNTIF($B8:$AE8,"B")</f>
        <v>11</v>
      </c>
      <c r="AJ8" s="29" t="n">
        <f aca="false">SUMPRODUCT(($B$6:$AE$6="●")*($B8:$AE8="休"))</f>
        <v>3</v>
      </c>
    </row>
    <row r="9" customFormat="false" ht="19.5" hidden="false" customHeight="true" outlineLevel="0" collapsed="false">
      <c r="A9" s="24" t="s">
        <v>62</v>
      </c>
      <c r="B9" s="27" t="s">
        <v>59</v>
      </c>
      <c r="C9" s="26" t="s">
        <v>46</v>
      </c>
      <c r="D9" s="26" t="s">
        <v>46</v>
      </c>
      <c r="E9" s="26" t="s">
        <v>46</v>
      </c>
      <c r="F9" s="27" t="s">
        <v>59</v>
      </c>
      <c r="G9" s="26" t="s">
        <v>46</v>
      </c>
      <c r="H9" s="26" t="s">
        <v>46</v>
      </c>
      <c r="I9" s="25" t="s">
        <v>45</v>
      </c>
      <c r="J9" s="25" t="s">
        <v>45</v>
      </c>
      <c r="K9" s="27" t="s">
        <v>59</v>
      </c>
      <c r="L9" s="25" t="s">
        <v>45</v>
      </c>
      <c r="M9" s="27" t="s">
        <v>59</v>
      </c>
      <c r="N9" s="27" t="s">
        <v>59</v>
      </c>
      <c r="O9" s="25" t="s">
        <v>45</v>
      </c>
      <c r="P9" s="25" t="s">
        <v>45</v>
      </c>
      <c r="Q9" s="25" t="s">
        <v>45</v>
      </c>
      <c r="R9" s="25" t="s">
        <v>45</v>
      </c>
      <c r="S9" s="27" t="s">
        <v>59</v>
      </c>
      <c r="T9" s="27" t="s">
        <v>59</v>
      </c>
      <c r="U9" s="25" t="s">
        <v>45</v>
      </c>
      <c r="V9" s="25" t="s">
        <v>45</v>
      </c>
      <c r="W9" s="25" t="s">
        <v>45</v>
      </c>
      <c r="X9" s="26" t="s">
        <v>46</v>
      </c>
      <c r="Y9" s="27" t="s">
        <v>59</v>
      </c>
      <c r="Z9" s="26" t="s">
        <v>46</v>
      </c>
      <c r="AA9" s="26" t="s">
        <v>46</v>
      </c>
      <c r="AB9" s="26" t="s">
        <v>46</v>
      </c>
      <c r="AC9" s="26" t="s">
        <v>46</v>
      </c>
      <c r="AD9" s="27" t="s">
        <v>59</v>
      </c>
      <c r="AE9" s="26" t="s">
        <v>46</v>
      </c>
      <c r="AF9" s="29" t="n">
        <f aca="false">COUNTIF($B9:$AE9,"A")+COUNTIF($B9:$AE9,"B")+COUNTIF($B9:$AE9,"式")</f>
        <v>21</v>
      </c>
      <c r="AG9" s="29" t="n">
        <f aca="false">COUNTIF($B9:$AE9,"休")+COUNTIF($B9:$AE9,"×")</f>
        <v>9</v>
      </c>
      <c r="AH9" s="29" t="n">
        <f aca="false">COUNTIF($B9:$AE9,"A")</f>
        <v>10</v>
      </c>
      <c r="AI9" s="29" t="n">
        <f aca="false">COUNTIF($B9:$AE9,"B")</f>
        <v>11</v>
      </c>
      <c r="AJ9" s="29" t="n">
        <f aca="false">SUMPRODUCT(($B$6:$AE$6="●")*($B9:$AE9="休"))</f>
        <v>2</v>
      </c>
    </row>
    <row r="10" customFormat="false" ht="19.5" hidden="false" customHeight="true" outlineLevel="0" collapsed="false">
      <c r="A10" s="24" t="s">
        <v>63</v>
      </c>
      <c r="B10" s="25" t="s">
        <v>45</v>
      </c>
      <c r="C10" s="27" t="s">
        <v>59</v>
      </c>
      <c r="D10" s="25" t="s">
        <v>45</v>
      </c>
      <c r="E10" s="25" t="s">
        <v>45</v>
      </c>
      <c r="F10" s="25" t="s">
        <v>45</v>
      </c>
      <c r="G10" s="25" t="s">
        <v>45</v>
      </c>
      <c r="H10" s="27" t="s">
        <v>59</v>
      </c>
      <c r="I10" s="25" t="s">
        <v>45</v>
      </c>
      <c r="J10" s="26" t="s">
        <v>46</v>
      </c>
      <c r="K10" s="26" t="s">
        <v>46</v>
      </c>
      <c r="L10" s="27" t="s">
        <v>59</v>
      </c>
      <c r="M10" s="26" t="s">
        <v>46</v>
      </c>
      <c r="N10" s="26" t="s">
        <v>46</v>
      </c>
      <c r="O10" s="27" t="s">
        <v>59</v>
      </c>
      <c r="P10" s="26" t="s">
        <v>46</v>
      </c>
      <c r="Q10" s="26" t="s">
        <v>46</v>
      </c>
      <c r="R10" s="27" t="s">
        <v>59</v>
      </c>
      <c r="S10" s="26" t="s">
        <v>46</v>
      </c>
      <c r="T10" s="26" t="s">
        <v>46</v>
      </c>
      <c r="U10" s="26" t="s">
        <v>46</v>
      </c>
      <c r="V10" s="26" t="s">
        <v>46</v>
      </c>
      <c r="W10" s="27" t="s">
        <v>59</v>
      </c>
      <c r="X10" s="27" t="s">
        <v>59</v>
      </c>
      <c r="Y10" s="26" t="s">
        <v>46</v>
      </c>
      <c r="Z10" s="27" t="s">
        <v>59</v>
      </c>
      <c r="AA10" s="27" t="s">
        <v>59</v>
      </c>
      <c r="AB10" s="25" t="s">
        <v>45</v>
      </c>
      <c r="AC10" s="25" t="s">
        <v>45</v>
      </c>
      <c r="AD10" s="25" t="s">
        <v>45</v>
      </c>
      <c r="AE10" s="25" t="s">
        <v>45</v>
      </c>
      <c r="AF10" s="29" t="n">
        <f aca="false">COUNTIF($B10:$AE10,"A")+COUNTIF($B10:$AE10,"B")+COUNTIF($B10:$AE10,"式")</f>
        <v>21</v>
      </c>
      <c r="AG10" s="29" t="n">
        <f aca="false">COUNTIF($B10:$AE10,"休")+COUNTIF($B10:$AE10,"×")</f>
        <v>9</v>
      </c>
      <c r="AH10" s="29" t="n">
        <f aca="false">COUNTIF($B10:$AE10,"A")</f>
        <v>10</v>
      </c>
      <c r="AI10" s="29" t="n">
        <f aca="false">COUNTIF($B10:$AE10,"B")</f>
        <v>11</v>
      </c>
      <c r="AJ10" s="29" t="n">
        <f aca="false">SUMPRODUCT(($B$6:$AE$6="●")*($B10:$AE10="休"))</f>
        <v>4</v>
      </c>
    </row>
    <row r="11" customFormat="false" ht="19.5" hidden="false" customHeight="true" outlineLevel="0" collapsed="false">
      <c r="A11" s="24" t="s">
        <v>64</v>
      </c>
      <c r="B11" s="26" t="s">
        <v>46</v>
      </c>
      <c r="C11" s="25" t="s">
        <v>45</v>
      </c>
      <c r="D11" s="25" t="s">
        <v>45</v>
      </c>
      <c r="E11" s="25" t="s">
        <v>45</v>
      </c>
      <c r="F11" s="27" t="s">
        <v>59</v>
      </c>
      <c r="G11" s="27" t="s">
        <v>59</v>
      </c>
      <c r="H11" s="25" t="s">
        <v>45</v>
      </c>
      <c r="I11" s="27" t="s">
        <v>59</v>
      </c>
      <c r="J11" s="26" t="s">
        <v>46</v>
      </c>
      <c r="K11" s="26" t="s">
        <v>46</v>
      </c>
      <c r="L11" s="26" t="s">
        <v>46</v>
      </c>
      <c r="M11" s="27" t="s">
        <v>59</v>
      </c>
      <c r="N11" s="26" t="s">
        <v>46</v>
      </c>
      <c r="O11" s="26" t="s">
        <v>46</v>
      </c>
      <c r="P11" s="27" t="s">
        <v>59</v>
      </c>
      <c r="Q11" s="27" t="s">
        <v>59</v>
      </c>
      <c r="R11" s="26" t="s">
        <v>46</v>
      </c>
      <c r="S11" s="26" t="s">
        <v>46</v>
      </c>
      <c r="T11" s="26" t="s">
        <v>46</v>
      </c>
      <c r="U11" s="26" t="s">
        <v>46</v>
      </c>
      <c r="V11" s="27" t="s">
        <v>59</v>
      </c>
      <c r="W11" s="26" t="s">
        <v>46</v>
      </c>
      <c r="X11" s="26" t="s">
        <v>46</v>
      </c>
      <c r="Y11" s="27" t="s">
        <v>59</v>
      </c>
      <c r="Z11" s="25" t="s">
        <v>45</v>
      </c>
      <c r="AA11" s="25" t="s">
        <v>45</v>
      </c>
      <c r="AB11" s="25" t="s">
        <v>45</v>
      </c>
      <c r="AC11" s="27" t="s">
        <v>59</v>
      </c>
      <c r="AD11" s="25" t="s">
        <v>45</v>
      </c>
      <c r="AE11" s="25" t="s">
        <v>45</v>
      </c>
      <c r="AF11" s="29" t="n">
        <f aca="false">COUNTIF($B11:$AE11,"A")+COUNTIF($B11:$AE11,"B")+COUNTIF($B11:$AE11,"式")</f>
        <v>21</v>
      </c>
      <c r="AG11" s="29" t="n">
        <f aca="false">COUNTIF($B11:$AE11,"休")+COUNTIF($B11:$AE11,"×")</f>
        <v>9</v>
      </c>
      <c r="AH11" s="29" t="n">
        <f aca="false">COUNTIF($B11:$AE11,"A")</f>
        <v>9</v>
      </c>
      <c r="AI11" s="29" t="n">
        <f aca="false">COUNTIF($B11:$AE11,"B")</f>
        <v>12</v>
      </c>
      <c r="AJ11" s="29" t="n">
        <f aca="false">SUMPRODUCT(($B$6:$AE$6="●")*($B11:$AE11="休"))</f>
        <v>4</v>
      </c>
    </row>
    <row r="12" customFormat="false" ht="19.5" hidden="false" customHeight="true" outlineLevel="0" collapsed="false">
      <c r="A12" s="24" t="s">
        <v>65</v>
      </c>
      <c r="B12" s="25" t="s">
        <v>45</v>
      </c>
      <c r="C12" s="27" t="s">
        <v>59</v>
      </c>
      <c r="D12" s="27" t="s">
        <v>59</v>
      </c>
      <c r="E12" s="25" t="s">
        <v>45</v>
      </c>
      <c r="F12" s="26" t="s">
        <v>46</v>
      </c>
      <c r="G12" s="26" t="s">
        <v>46</v>
      </c>
      <c r="H12" s="25" t="s">
        <v>45</v>
      </c>
      <c r="I12" s="27" t="s">
        <v>59</v>
      </c>
      <c r="J12" s="25" t="s">
        <v>45</v>
      </c>
      <c r="K12" s="26" t="s">
        <v>46</v>
      </c>
      <c r="L12" s="26" t="s">
        <v>46</v>
      </c>
      <c r="M12" s="26" t="s">
        <v>46</v>
      </c>
      <c r="N12" s="27" t="s">
        <v>59</v>
      </c>
      <c r="O12" s="26" t="s">
        <v>46</v>
      </c>
      <c r="P12" s="27" t="s">
        <v>59</v>
      </c>
      <c r="Q12" s="26" t="s">
        <v>46</v>
      </c>
      <c r="R12" s="26" t="s">
        <v>46</v>
      </c>
      <c r="S12" s="25" t="s">
        <v>45</v>
      </c>
      <c r="T12" s="27" t="s">
        <v>59</v>
      </c>
      <c r="U12" s="27" t="s">
        <v>59</v>
      </c>
      <c r="V12" s="25" t="s">
        <v>45</v>
      </c>
      <c r="W12" s="25" t="s">
        <v>45</v>
      </c>
      <c r="X12" s="25" t="s">
        <v>45</v>
      </c>
      <c r="Y12" s="25" t="s">
        <v>45</v>
      </c>
      <c r="Z12" s="27" t="s">
        <v>59</v>
      </c>
      <c r="AA12" s="25" t="s">
        <v>45</v>
      </c>
      <c r="AB12" s="26" t="s">
        <v>46</v>
      </c>
      <c r="AC12" s="26" t="s">
        <v>46</v>
      </c>
      <c r="AD12" s="26" t="s">
        <v>46</v>
      </c>
      <c r="AE12" s="27" t="s">
        <v>59</v>
      </c>
      <c r="AF12" s="29" t="n">
        <f aca="false">COUNTIF($B12:$AE12,"A")+COUNTIF($B12:$AE12,"B")+COUNTIF($B12:$AE12,"式")</f>
        <v>21</v>
      </c>
      <c r="AG12" s="29" t="n">
        <f aca="false">COUNTIF($B12:$AE12,"休")+COUNTIF($B12:$AE12,"×")</f>
        <v>9</v>
      </c>
      <c r="AH12" s="29" t="n">
        <f aca="false">COUNTIF($B12:$AE12,"A")</f>
        <v>10</v>
      </c>
      <c r="AI12" s="29" t="n">
        <f aca="false">COUNTIF($B12:$AE12,"B")</f>
        <v>11</v>
      </c>
      <c r="AJ12" s="29" t="n">
        <f aca="false">SUMPRODUCT(($B$6:$AE$6="●")*($B12:$AE12="休"))</f>
        <v>3</v>
      </c>
    </row>
    <row r="13" customFormat="false" ht="19.5" hidden="false" customHeight="true" outlineLevel="0" collapsed="false">
      <c r="A13" s="24" t="s">
        <v>66</v>
      </c>
      <c r="B13" s="25" t="s">
        <v>45</v>
      </c>
      <c r="C13" s="27" t="s">
        <v>59</v>
      </c>
      <c r="D13" s="25" t="s">
        <v>45</v>
      </c>
      <c r="E13" s="26" t="s">
        <v>46</v>
      </c>
      <c r="F13" s="26" t="s">
        <v>46</v>
      </c>
      <c r="G13" s="27" t="s">
        <v>59</v>
      </c>
      <c r="H13" s="26" t="s">
        <v>46</v>
      </c>
      <c r="I13" s="26" t="s">
        <v>46</v>
      </c>
      <c r="J13" s="26" t="s">
        <v>46</v>
      </c>
      <c r="K13" s="26" t="s">
        <v>46</v>
      </c>
      <c r="L13" s="27" t="s">
        <v>59</v>
      </c>
      <c r="M13" s="25" t="s">
        <v>45</v>
      </c>
      <c r="N13" s="25" t="s">
        <v>45</v>
      </c>
      <c r="O13" s="25" t="s">
        <v>45</v>
      </c>
      <c r="P13" s="25" t="s">
        <v>45</v>
      </c>
      <c r="Q13" s="27" t="s">
        <v>59</v>
      </c>
      <c r="R13" s="27" t="s">
        <v>59</v>
      </c>
      <c r="S13" s="25" t="s">
        <v>45</v>
      </c>
      <c r="T13" s="25" t="s">
        <v>45</v>
      </c>
      <c r="U13" s="26" t="s">
        <v>46</v>
      </c>
      <c r="V13" s="27" t="s">
        <v>59</v>
      </c>
      <c r="W13" s="26" t="s">
        <v>46</v>
      </c>
      <c r="X13" s="26" t="s">
        <v>46</v>
      </c>
      <c r="Y13" s="27" t="s">
        <v>59</v>
      </c>
      <c r="Z13" s="26" t="s">
        <v>46</v>
      </c>
      <c r="AA13" s="26" t="s">
        <v>46</v>
      </c>
      <c r="AB13" s="26" t="s">
        <v>46</v>
      </c>
      <c r="AC13" s="25" t="s">
        <v>45</v>
      </c>
      <c r="AD13" s="27" t="s">
        <v>59</v>
      </c>
      <c r="AE13" s="27" t="s">
        <v>59</v>
      </c>
      <c r="AF13" s="29" t="n">
        <f aca="false">COUNTIF($B13:$AE13,"A")+COUNTIF($B13:$AE13,"B")+COUNTIF($B13:$AE13,"式")</f>
        <v>21</v>
      </c>
      <c r="AG13" s="29" t="n">
        <f aca="false">COUNTIF($B13:$AE13,"休")+COUNTIF($B13:$AE13,"×")</f>
        <v>9</v>
      </c>
      <c r="AH13" s="29" t="n">
        <f aca="false">COUNTIF($B13:$AE13,"A")</f>
        <v>9</v>
      </c>
      <c r="AI13" s="29" t="n">
        <f aca="false">COUNTIF($B13:$AE13,"B")</f>
        <v>12</v>
      </c>
      <c r="AJ13" s="29" t="n">
        <f aca="false">SUMPRODUCT(($B$6:$AE$6="●")*($B13:$AE13="休"))</f>
        <v>2</v>
      </c>
    </row>
    <row r="14" customFormat="false" ht="19.5" hidden="false" customHeight="true" outlineLevel="0" collapsed="false">
      <c r="A14" s="24" t="s">
        <v>67</v>
      </c>
      <c r="B14" s="26" t="s">
        <v>46</v>
      </c>
      <c r="C14" s="26" t="s">
        <v>46</v>
      </c>
      <c r="D14" s="26" t="s">
        <v>46</v>
      </c>
      <c r="E14" s="27" t="s">
        <v>59</v>
      </c>
      <c r="F14" s="26" t="s">
        <v>46</v>
      </c>
      <c r="G14" s="26" t="s">
        <v>46</v>
      </c>
      <c r="H14" s="25" t="s">
        <v>45</v>
      </c>
      <c r="I14" s="25" t="s">
        <v>45</v>
      </c>
      <c r="J14" s="27" t="s">
        <v>59</v>
      </c>
      <c r="K14" s="25" t="s">
        <v>45</v>
      </c>
      <c r="L14" s="27" t="s">
        <v>59</v>
      </c>
      <c r="M14" s="27" t="s">
        <v>59</v>
      </c>
      <c r="N14" s="25" t="s">
        <v>45</v>
      </c>
      <c r="O14" s="25" t="s">
        <v>45</v>
      </c>
      <c r="P14" s="25" t="s">
        <v>45</v>
      </c>
      <c r="Q14" s="27" t="s">
        <v>59</v>
      </c>
      <c r="R14" s="26" t="s">
        <v>46</v>
      </c>
      <c r="S14" s="26" t="s">
        <v>46</v>
      </c>
      <c r="T14" s="25" t="s">
        <v>45</v>
      </c>
      <c r="U14" s="27" t="s">
        <v>59</v>
      </c>
      <c r="V14" s="25" t="s">
        <v>45</v>
      </c>
      <c r="W14" s="25" t="s">
        <v>45</v>
      </c>
      <c r="X14" s="25" t="s">
        <v>45</v>
      </c>
      <c r="Y14" s="26" t="s">
        <v>46</v>
      </c>
      <c r="Z14" s="27" t="s">
        <v>59</v>
      </c>
      <c r="AA14" s="26" t="s">
        <v>46</v>
      </c>
      <c r="AB14" s="26" t="s">
        <v>46</v>
      </c>
      <c r="AC14" s="27" t="s">
        <v>59</v>
      </c>
      <c r="AD14" s="27" t="s">
        <v>59</v>
      </c>
      <c r="AE14" s="26" t="s">
        <v>46</v>
      </c>
      <c r="AF14" s="29" t="n">
        <f aca="false">COUNTIF($B14:$AE14,"A")+COUNTIF($B14:$AE14,"B")+COUNTIF($B14:$AE14,"式")</f>
        <v>21</v>
      </c>
      <c r="AG14" s="29" t="n">
        <f aca="false">COUNTIF($B14:$AE14,"休")+COUNTIF($B14:$AE14,"×")</f>
        <v>9</v>
      </c>
      <c r="AH14" s="29" t="n">
        <f aca="false">COUNTIF($B14:$AE14,"A")</f>
        <v>10</v>
      </c>
      <c r="AI14" s="29" t="n">
        <f aca="false">COUNTIF($B14:$AE14,"B")</f>
        <v>11</v>
      </c>
      <c r="AJ14" s="29" t="n">
        <f aca="false">SUMPRODUCT(($B$6:$AE$6="●")*($B14:$AE14="休"))</f>
        <v>2</v>
      </c>
    </row>
    <row r="15" customFormat="false" ht="19.5" hidden="false" customHeight="true" outlineLevel="0" collapsed="false">
      <c r="A15" s="24" t="s">
        <v>68</v>
      </c>
      <c r="B15" s="25" t="s">
        <v>45</v>
      </c>
      <c r="C15" s="25" t="s">
        <v>45</v>
      </c>
      <c r="D15" s="27" t="s">
        <v>59</v>
      </c>
      <c r="E15" s="26" t="s">
        <v>46</v>
      </c>
      <c r="F15" s="26" t="s">
        <v>46</v>
      </c>
      <c r="G15" s="26" t="s">
        <v>46</v>
      </c>
      <c r="H15" s="25" t="s">
        <v>45</v>
      </c>
      <c r="I15" s="27" t="s">
        <v>59</v>
      </c>
      <c r="J15" s="27" t="s">
        <v>59</v>
      </c>
      <c r="K15" s="25" t="s">
        <v>45</v>
      </c>
      <c r="L15" s="26" t="s">
        <v>46</v>
      </c>
      <c r="M15" s="26" t="s">
        <v>46</v>
      </c>
      <c r="N15" s="26" t="s">
        <v>46</v>
      </c>
      <c r="O15" s="27" t="s">
        <v>59</v>
      </c>
      <c r="P15" s="27" t="s">
        <v>59</v>
      </c>
      <c r="Q15" s="26" t="s">
        <v>46</v>
      </c>
      <c r="R15" s="26" t="s">
        <v>46</v>
      </c>
      <c r="S15" s="27" t="s">
        <v>59</v>
      </c>
      <c r="T15" s="26" t="s">
        <v>46</v>
      </c>
      <c r="U15" s="27" t="s">
        <v>59</v>
      </c>
      <c r="V15" s="26" t="s">
        <v>46</v>
      </c>
      <c r="W15" s="26" t="s">
        <v>46</v>
      </c>
      <c r="X15" s="27" t="s">
        <v>59</v>
      </c>
      <c r="Y15" s="25" t="s">
        <v>45</v>
      </c>
      <c r="Z15" s="25" t="s">
        <v>45</v>
      </c>
      <c r="AA15" s="25" t="s">
        <v>45</v>
      </c>
      <c r="AB15" s="27" t="s">
        <v>59</v>
      </c>
      <c r="AC15" s="25" t="s">
        <v>45</v>
      </c>
      <c r="AD15" s="25" t="s">
        <v>45</v>
      </c>
      <c r="AE15" s="26" t="s">
        <v>46</v>
      </c>
      <c r="AF15" s="29" t="n">
        <f aca="false">COUNTIF($B15:$AE15,"A")+COUNTIF($B15:$AE15,"B")+COUNTIF($B15:$AE15,"式")</f>
        <v>21</v>
      </c>
      <c r="AG15" s="29" t="n">
        <f aca="false">COUNTIF($B15:$AE15,"休")+COUNTIF($B15:$AE15,"×")</f>
        <v>9</v>
      </c>
      <c r="AH15" s="29" t="n">
        <f aca="false">COUNTIF($B15:$AE15,"A")</f>
        <v>9</v>
      </c>
      <c r="AI15" s="29" t="n">
        <f aca="false">COUNTIF($B15:$AE15,"B")</f>
        <v>12</v>
      </c>
      <c r="AJ15" s="29" t="n">
        <f aca="false">SUMPRODUCT(($B$6:$AE$6="●")*($B15:$AE15="休"))</f>
        <v>5</v>
      </c>
    </row>
    <row r="16" customFormat="false" ht="15" hidden="false" customHeight="false" outlineLevel="0" collapsed="false">
      <c r="A16" s="30" t="s">
        <v>69</v>
      </c>
      <c r="B16" s="15" t="n">
        <f aca="false">COUNTIF(B$7:B$15,"A")+COUNTIF(B$7:B$15,"B")+COUNTIF(B$7:B$15,"式")</f>
        <v>7</v>
      </c>
      <c r="C16" s="15" t="n">
        <f aca="false">COUNTIF(C$7:C$15,"A")+COUNTIF(C$7:C$15,"B")+COUNTIF(C$7:C$15,"式")</f>
        <v>6</v>
      </c>
      <c r="D16" s="15" t="n">
        <f aca="false">COUNTIF(D$7:D$15,"A")+COUNTIF(D$7:D$15,"B")+COUNTIF(D$7:D$15,"式")</f>
        <v>6</v>
      </c>
      <c r="E16" s="15" t="n">
        <f aca="false">COUNTIF(E$7:E$15,"A")+COUNTIF(E$7:E$15,"B")+COUNTIF(E$7:E$15,"式")</f>
        <v>7</v>
      </c>
      <c r="F16" s="15" t="n">
        <f aca="false">COUNTIF(F$7:F$15,"A")+COUNTIF(F$7:F$15,"B")+COUNTIF(F$7:F$15,"式")</f>
        <v>6</v>
      </c>
      <c r="G16" s="15" t="n">
        <f aca="false">COUNTIF(G$7:G$15,"A")+COUNTIF(G$7:G$15,"B")+COUNTIF(G$7:G$15,"式")</f>
        <v>6</v>
      </c>
      <c r="H16" s="15" t="n">
        <f aca="false">COUNTIF(H$7:H$15,"A")+COUNTIF(H$7:H$15,"B")+COUNTIF(H$7:H$15,"式")</f>
        <v>8</v>
      </c>
      <c r="I16" s="15" t="n">
        <f aca="false">COUNTIF(I$7:I$15,"A")+COUNTIF(I$7:I$15,"B")+COUNTIF(I$7:I$15,"式")</f>
        <v>6</v>
      </c>
      <c r="J16" s="15" t="n">
        <f aca="false">COUNTIF(J$7:J$15,"A")+COUNTIF(J$7:J$15,"B")+COUNTIF(J$7:J$15,"式")</f>
        <v>6</v>
      </c>
      <c r="K16" s="15" t="n">
        <f aca="false">COUNTIF(K$7:K$15,"A")+COUNTIF(K$7:K$15,"B")+COUNTIF(K$7:K$15,"式")</f>
        <v>6</v>
      </c>
      <c r="L16" s="15" t="n">
        <f aca="false">COUNTIF(L$7:L$15,"A")+COUNTIF(L$7:L$15,"B")+COUNTIF(L$7:L$15,"式")</f>
        <v>6</v>
      </c>
      <c r="M16" s="15" t="n">
        <f aca="false">COUNTIF(M$7:M$15,"A")+COUNTIF(M$7:M$15,"B")+COUNTIF(M$7:M$15,"式")</f>
        <v>6</v>
      </c>
      <c r="N16" s="15" t="n">
        <f aca="false">COUNTIF(N$7:N$15,"A")+COUNTIF(N$7:N$15,"B")+COUNTIF(N$7:N$15,"式")</f>
        <v>6</v>
      </c>
      <c r="O16" s="15" t="n">
        <f aca="false">COUNTIF(O$7:O$15,"A")+COUNTIF(O$7:O$15,"B")+COUNTIF(O$7:O$15,"式")</f>
        <v>6</v>
      </c>
      <c r="P16" s="15" t="n">
        <f aca="false">COUNTIF(P$7:P$15,"A")+COUNTIF(P$7:P$15,"B")+COUNTIF(P$7:P$15,"式")</f>
        <v>6</v>
      </c>
      <c r="Q16" s="15" t="n">
        <f aca="false">COUNTIF(Q$7:Q$15,"A")+COUNTIF(Q$7:Q$15,"B")+COUNTIF(Q$7:Q$15,"式")</f>
        <v>6</v>
      </c>
      <c r="R16" s="15" t="n">
        <f aca="false">COUNTIF(R$7:R$15,"A")+COUNTIF(R$7:R$15,"B")+COUNTIF(R$7:R$15,"式")</f>
        <v>6</v>
      </c>
      <c r="S16" s="15" t="n">
        <f aca="false">COUNTIF(S$7:S$15,"A")+COUNTIF(S$7:S$15,"B")+COUNTIF(S$7:S$15,"式")</f>
        <v>6</v>
      </c>
      <c r="T16" s="15" t="n">
        <f aca="false">COUNTIF(T$7:T$15,"A")+COUNTIF(T$7:T$15,"B")+COUNTIF(T$7:T$15,"式")</f>
        <v>7</v>
      </c>
      <c r="U16" s="15" t="n">
        <f aca="false">COUNTIF(U$7:U$15,"A")+COUNTIF(U$7:U$15,"B")+COUNTIF(U$7:U$15,"式")</f>
        <v>6</v>
      </c>
      <c r="V16" s="15" t="n">
        <f aca="false">COUNTIF(V$7:V$15,"A")+COUNTIF(V$7:V$15,"B")+COUNTIF(V$7:V$15,"式")</f>
        <v>6</v>
      </c>
      <c r="W16" s="15" t="n">
        <f aca="false">COUNTIF(W$7:W$15,"A")+COUNTIF(W$7:W$15,"B")+COUNTIF(W$7:W$15,"式")</f>
        <v>7</v>
      </c>
      <c r="X16" s="15" t="n">
        <f aca="false">COUNTIF(X$7:X$15,"A")+COUNTIF(X$7:X$15,"B")+COUNTIF(X$7:X$15,"式")</f>
        <v>7</v>
      </c>
      <c r="Y16" s="15" t="n">
        <f aca="false">COUNTIF(Y$7:Y$15,"A")+COUNTIF(Y$7:Y$15,"B")+COUNTIF(Y$7:Y$15,"式")</f>
        <v>6</v>
      </c>
      <c r="Z16" s="15" t="n">
        <f aca="false">COUNTIF(Z$7:Z$15,"A")+COUNTIF(Z$7:Z$15,"B")+COUNTIF(Z$7:Z$15,"式")</f>
        <v>6</v>
      </c>
      <c r="AA16" s="15" t="n">
        <f aca="false">COUNTIF(AA$7:AA$15,"A")+COUNTIF(AA$7:AA$15,"B")+COUNTIF(AA$7:AA$15,"式")</f>
        <v>7</v>
      </c>
      <c r="AB16" s="15" t="n">
        <f aca="false">COUNTIF(AB$7:AB$15,"A")+COUNTIF(AB$7:AB$15,"B")+COUNTIF(AB$7:AB$15,"式")</f>
        <v>6</v>
      </c>
      <c r="AC16" s="15" t="n">
        <f aca="false">COUNTIF(AC$7:AC$15,"A")+COUNTIF(AC$7:AC$15,"B")+COUNTIF(AC$7:AC$15,"式")</f>
        <v>6</v>
      </c>
      <c r="AD16" s="15" t="n">
        <f aca="false">COUNTIF(AD$7:AD$15,"A")+COUNTIF(AD$7:AD$15,"B")+COUNTIF(AD$7:AD$15,"式")</f>
        <v>6</v>
      </c>
      <c r="AE16" s="15" t="n">
        <f aca="false">COUNTIF(AE$7:AE$15,"A")+COUNTIF(AE$7:AE$15,"B")+COUNTIF(AE$7:AE$15,"式")</f>
        <v>7</v>
      </c>
      <c r="AF16" s="31" t="n">
        <f aca="false">SUM(B16:AE16)</f>
        <v>189</v>
      </c>
    </row>
    <row r="17" customFormat="false" ht="15" hidden="false" customHeight="false" outlineLevel="0" collapsed="false">
      <c r="A17" s="32" t="s">
        <v>70</v>
      </c>
      <c r="B17" s="33" t="n">
        <f aca="false">COUNTIF(B$7:B$15,"A")</f>
        <v>4</v>
      </c>
      <c r="C17" s="33" t="n">
        <f aca="false">COUNTIF(C$7:C$15,"A")</f>
        <v>2</v>
      </c>
      <c r="D17" s="33" t="n">
        <f aca="false">COUNTIF(D$7:D$15,"A")</f>
        <v>4</v>
      </c>
      <c r="E17" s="33" t="n">
        <f aca="false">COUNTIF(E$7:E$15,"A")</f>
        <v>3</v>
      </c>
      <c r="F17" s="33" t="n">
        <f aca="false">COUNTIF(F$7:F$15,"A")</f>
        <v>2</v>
      </c>
      <c r="G17" s="33" t="n">
        <f aca="false">COUNTIF(G$7:G$15,"A")</f>
        <v>2</v>
      </c>
      <c r="H17" s="33" t="n">
        <f aca="false">COUNTIF(H$7:H$15,"A")</f>
        <v>5</v>
      </c>
      <c r="I17" s="33" t="n">
        <f aca="false">COUNTIF(I$7:I$15,"A")</f>
        <v>4</v>
      </c>
      <c r="J17" s="33" t="n">
        <f aca="false">COUNTIF(J$7:J$15,"A")</f>
        <v>2</v>
      </c>
      <c r="K17" s="33" t="n">
        <f aca="false">COUNTIF(K$7:K$15,"A")</f>
        <v>2</v>
      </c>
      <c r="L17" s="33" t="n">
        <f aca="false">COUNTIF(L$7:L$15,"A")</f>
        <v>2</v>
      </c>
      <c r="M17" s="33" t="n">
        <f aca="false">COUNTIF(M$7:M$15,"A")</f>
        <v>2</v>
      </c>
      <c r="N17" s="33" t="n">
        <f aca="false">COUNTIF(N$7:N$15,"A")</f>
        <v>2</v>
      </c>
      <c r="O17" s="33" t="n">
        <f aca="false">COUNTIF(O$7:O$15,"A")</f>
        <v>4</v>
      </c>
      <c r="P17" s="33" t="n">
        <f aca="false">COUNTIF(P$7:P$15,"A")</f>
        <v>4</v>
      </c>
      <c r="Q17" s="33" t="n">
        <f aca="false">COUNTIF(Q$7:Q$15,"A")</f>
        <v>2</v>
      </c>
      <c r="R17" s="33" t="n">
        <f aca="false">COUNTIF(R$7:R$15,"A")</f>
        <v>2</v>
      </c>
      <c r="S17" s="33" t="n">
        <f aca="false">COUNTIF(S$7:S$15,"A")</f>
        <v>2</v>
      </c>
      <c r="T17" s="33" t="n">
        <f aca="false">COUNTIF(T$7:T$15,"A")</f>
        <v>3</v>
      </c>
      <c r="U17" s="33" t="n">
        <f aca="false">COUNTIF(U$7:U$15,"A")</f>
        <v>2</v>
      </c>
      <c r="V17" s="33" t="n">
        <f aca="false">COUNTIF(V$7:V$15,"A")</f>
        <v>4</v>
      </c>
      <c r="W17" s="33" t="n">
        <f aca="false">COUNTIF(W$7:W$15,"A")</f>
        <v>4</v>
      </c>
      <c r="X17" s="33" t="n">
        <f aca="false">COUNTIF(X$7:X$15,"A")</f>
        <v>4</v>
      </c>
      <c r="Y17" s="33" t="n">
        <f aca="false">COUNTIF(Y$7:Y$15,"A")</f>
        <v>2</v>
      </c>
      <c r="Z17" s="33" t="n">
        <f aca="false">COUNTIF(Z$7:Z$15,"A")</f>
        <v>2</v>
      </c>
      <c r="AA17" s="33" t="n">
        <f aca="false">COUNTIF(AA$7:AA$15,"A")</f>
        <v>3</v>
      </c>
      <c r="AB17" s="33" t="n">
        <f aca="false">COUNTIF(AB$7:AB$15,"A")</f>
        <v>2</v>
      </c>
      <c r="AC17" s="33" t="n">
        <f aca="false">COUNTIF(AC$7:AC$15,"A")</f>
        <v>4</v>
      </c>
      <c r="AD17" s="33" t="n">
        <f aca="false">COUNTIF(AD$7:AD$15,"A")</f>
        <v>4</v>
      </c>
      <c r="AE17" s="33" t="n">
        <f aca="false">COUNTIF(AE$7:AE$15,"A")</f>
        <v>3</v>
      </c>
      <c r="AF17" s="31" t="n">
        <f aca="false">SUM(B17:AE17)</f>
        <v>87</v>
      </c>
    </row>
    <row r="18" customFormat="false" ht="15" hidden="false" customHeight="false" outlineLevel="0" collapsed="false">
      <c r="A18" s="32" t="s">
        <v>71</v>
      </c>
      <c r="B18" s="33" t="n">
        <f aca="false">COUNTIF(B$7:B$15,"B")</f>
        <v>3</v>
      </c>
      <c r="C18" s="33" t="n">
        <f aca="false">COUNTIF(C$7:C$15,"B")</f>
        <v>4</v>
      </c>
      <c r="D18" s="33" t="n">
        <f aca="false">COUNTIF(D$7:D$15,"B")</f>
        <v>2</v>
      </c>
      <c r="E18" s="33" t="n">
        <f aca="false">COUNTIF(E$7:E$15,"B")</f>
        <v>4</v>
      </c>
      <c r="F18" s="33" t="n">
        <f aca="false">COUNTIF(F$7:F$15,"B")</f>
        <v>4</v>
      </c>
      <c r="G18" s="33" t="n">
        <f aca="false">COUNTIF(G$7:G$15,"B")</f>
        <v>4</v>
      </c>
      <c r="H18" s="33" t="n">
        <f aca="false">COUNTIF(H$7:H$15,"B")</f>
        <v>3</v>
      </c>
      <c r="I18" s="33" t="n">
        <f aca="false">COUNTIF(I$7:I$15,"B")</f>
        <v>2</v>
      </c>
      <c r="J18" s="33" t="n">
        <f aca="false">COUNTIF(J$7:J$15,"B")</f>
        <v>4</v>
      </c>
      <c r="K18" s="33" t="n">
        <f aca="false">COUNTIF(K$7:K$15,"B")</f>
        <v>4</v>
      </c>
      <c r="L18" s="33" t="n">
        <f aca="false">COUNTIF(L$7:L$15,"B")</f>
        <v>4</v>
      </c>
      <c r="M18" s="33" t="n">
        <f aca="false">COUNTIF(M$7:M$15,"B")</f>
        <v>4</v>
      </c>
      <c r="N18" s="33" t="n">
        <f aca="false">COUNTIF(N$7:N$15,"B")</f>
        <v>4</v>
      </c>
      <c r="O18" s="33" t="n">
        <f aca="false">COUNTIF(O$7:O$15,"B")</f>
        <v>2</v>
      </c>
      <c r="P18" s="33" t="n">
        <f aca="false">COUNTIF(P$7:P$15,"B")</f>
        <v>2</v>
      </c>
      <c r="Q18" s="33" t="n">
        <f aca="false">COUNTIF(Q$7:Q$15,"B")</f>
        <v>4</v>
      </c>
      <c r="R18" s="33" t="n">
        <f aca="false">COUNTIF(R$7:R$15,"B")</f>
        <v>4</v>
      </c>
      <c r="S18" s="33" t="n">
        <f aca="false">COUNTIF(S$7:S$15,"B")</f>
        <v>4</v>
      </c>
      <c r="T18" s="33" t="n">
        <f aca="false">COUNTIF(T$7:T$15,"B")</f>
        <v>4</v>
      </c>
      <c r="U18" s="33" t="n">
        <f aca="false">COUNTIF(U$7:U$15,"B")</f>
        <v>4</v>
      </c>
      <c r="V18" s="33" t="n">
        <f aca="false">COUNTIF(V$7:V$15,"B")</f>
        <v>2</v>
      </c>
      <c r="W18" s="33" t="n">
        <f aca="false">COUNTIF(W$7:W$15,"B")</f>
        <v>3</v>
      </c>
      <c r="X18" s="33" t="n">
        <f aca="false">COUNTIF(X$7:X$15,"B")</f>
        <v>3</v>
      </c>
      <c r="Y18" s="33" t="n">
        <f aca="false">COUNTIF(Y$7:Y$15,"B")</f>
        <v>4</v>
      </c>
      <c r="Z18" s="33" t="n">
        <f aca="false">COUNTIF(Z$7:Z$15,"B")</f>
        <v>4</v>
      </c>
      <c r="AA18" s="33" t="n">
        <f aca="false">COUNTIF(AA$7:AA$15,"B")</f>
        <v>4</v>
      </c>
      <c r="AB18" s="33" t="n">
        <f aca="false">COUNTIF(AB$7:AB$15,"B")</f>
        <v>4</v>
      </c>
      <c r="AC18" s="33" t="n">
        <f aca="false">COUNTIF(AC$7:AC$15,"B")</f>
        <v>2</v>
      </c>
      <c r="AD18" s="33" t="n">
        <f aca="false">COUNTIF(AD$7:AD$15,"B")</f>
        <v>2</v>
      </c>
      <c r="AE18" s="33" t="n">
        <f aca="false">COUNTIF(AE$7:AE$15,"B")</f>
        <v>4</v>
      </c>
      <c r="AF18" s="31" t="n">
        <f aca="false">SUM(B18:AE18)</f>
        <v>102</v>
      </c>
    </row>
    <row r="20" customFormat="false" ht="15" hidden="false" customHeight="false" outlineLevel="0" collapsed="false">
      <c r="A20" s="12" t="s">
        <v>78</v>
      </c>
    </row>
    <row r="21" customFormat="false" ht="15" hidden="false" customHeight="false" outlineLevel="0" collapsed="false">
      <c r="A21" s="1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2" min="2" style="0" width="3.61"/>
    <col collapsed="false" customWidth="true" hidden="false" outlineLevel="0" max="36" min="33" style="0" width="6.51"/>
    <col collapsed="false" customWidth="true" hidden="false" outlineLevel="0" max="37" min="37" style="0" width="8"/>
  </cols>
  <sheetData>
    <row r="1" customFormat="false" ht="21.6" hidden="false" customHeight="false" outlineLevel="0" collapsed="false">
      <c r="A1" s="1" t="s">
        <v>79</v>
      </c>
    </row>
    <row r="2" customFormat="false" ht="15" hidden="false" customHeight="false" outlineLevel="0" collapsed="false">
      <c r="A2" s="11" t="s">
        <v>40</v>
      </c>
    </row>
    <row r="3" customFormat="false" ht="15" hidden="false" customHeight="false" outlineLevel="0" collapsed="false">
      <c r="A3" s="12" t="s">
        <v>41</v>
      </c>
    </row>
    <row r="4" customFormat="false" ht="15" hidden="false" customHeight="false" outlineLevel="0" collapsed="false">
      <c r="A4" s="13" t="s">
        <v>42</v>
      </c>
      <c r="B4" s="13" t="n">
        <v>1</v>
      </c>
      <c r="C4" s="13" t="n">
        <v>2</v>
      </c>
      <c r="D4" s="13" t="n">
        <v>3</v>
      </c>
      <c r="E4" s="13" t="n">
        <v>4</v>
      </c>
      <c r="F4" s="13" t="n">
        <v>5</v>
      </c>
      <c r="G4" s="13" t="n">
        <v>6</v>
      </c>
      <c r="H4" s="13" t="n">
        <v>7</v>
      </c>
      <c r="I4" s="13" t="n">
        <v>8</v>
      </c>
      <c r="J4" s="13" t="n">
        <v>9</v>
      </c>
      <c r="K4" s="13" t="n">
        <v>10</v>
      </c>
      <c r="L4" s="13" t="n">
        <v>11</v>
      </c>
      <c r="M4" s="13" t="n">
        <v>12</v>
      </c>
      <c r="N4" s="13" t="n">
        <v>13</v>
      </c>
      <c r="O4" s="13" t="n">
        <v>14</v>
      </c>
      <c r="P4" s="13" t="n">
        <v>15</v>
      </c>
      <c r="Q4" s="13" t="n">
        <v>16</v>
      </c>
      <c r="R4" s="13" t="n">
        <v>17</v>
      </c>
      <c r="S4" s="13" t="n">
        <v>18</v>
      </c>
      <c r="T4" s="13" t="n">
        <v>19</v>
      </c>
      <c r="U4" s="13" t="n">
        <v>20</v>
      </c>
      <c r="V4" s="13" t="n">
        <v>21</v>
      </c>
      <c r="W4" s="13" t="n">
        <v>22</v>
      </c>
      <c r="X4" s="13" t="n">
        <v>23</v>
      </c>
      <c r="Y4" s="13" t="n">
        <v>24</v>
      </c>
      <c r="Z4" s="13" t="n">
        <v>25</v>
      </c>
      <c r="AA4" s="13" t="n">
        <v>26</v>
      </c>
      <c r="AB4" s="13" t="n">
        <v>27</v>
      </c>
      <c r="AC4" s="13" t="n">
        <v>28</v>
      </c>
      <c r="AD4" s="13" t="n">
        <v>29</v>
      </c>
      <c r="AE4" s="13" t="n">
        <v>30</v>
      </c>
      <c r="AF4" s="13" t="n">
        <v>31</v>
      </c>
      <c r="AG4" s="13" t="s">
        <v>43</v>
      </c>
      <c r="AH4" s="13" t="s">
        <v>44</v>
      </c>
      <c r="AI4" s="14" t="s">
        <v>45</v>
      </c>
      <c r="AJ4" s="14" t="s">
        <v>46</v>
      </c>
      <c r="AK4" s="13" t="s">
        <v>47</v>
      </c>
    </row>
    <row r="5" customFormat="false" ht="15" hidden="false" customHeight="false" outlineLevel="0" collapsed="false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6" t="s">
        <v>53</v>
      </c>
      <c r="G5" s="17" t="s">
        <v>54</v>
      </c>
      <c r="H5" s="15" t="s">
        <v>55</v>
      </c>
      <c r="I5" s="15" t="s">
        <v>49</v>
      </c>
      <c r="J5" s="15" t="s">
        <v>50</v>
      </c>
      <c r="K5" s="15" t="s">
        <v>51</v>
      </c>
      <c r="L5" s="15" t="s">
        <v>52</v>
      </c>
      <c r="M5" s="16" t="s">
        <v>53</v>
      </c>
      <c r="N5" s="17" t="s">
        <v>54</v>
      </c>
      <c r="O5" s="15" t="s">
        <v>55</v>
      </c>
      <c r="P5" s="15" t="s">
        <v>49</v>
      </c>
      <c r="Q5" s="15" t="s">
        <v>50</v>
      </c>
      <c r="R5" s="15" t="s">
        <v>51</v>
      </c>
      <c r="S5" s="15" t="s">
        <v>52</v>
      </c>
      <c r="T5" s="16" t="s">
        <v>53</v>
      </c>
      <c r="U5" s="17" t="s">
        <v>54</v>
      </c>
      <c r="V5" s="15" t="s">
        <v>55</v>
      </c>
      <c r="W5" s="15" t="s">
        <v>49</v>
      </c>
      <c r="X5" s="15" t="s">
        <v>50</v>
      </c>
      <c r="Y5" s="15" t="s">
        <v>51</v>
      </c>
      <c r="Z5" s="15" t="s">
        <v>52</v>
      </c>
      <c r="AA5" s="16" t="s">
        <v>53</v>
      </c>
      <c r="AB5" s="17" t="s">
        <v>54</v>
      </c>
      <c r="AC5" s="18" t="s">
        <v>55</v>
      </c>
      <c r="AD5" s="18" t="s">
        <v>49</v>
      </c>
      <c r="AE5" s="18" t="s">
        <v>50</v>
      </c>
      <c r="AF5" s="18" t="s">
        <v>51</v>
      </c>
      <c r="AG5" s="19"/>
      <c r="AH5" s="19"/>
      <c r="AI5" s="19"/>
      <c r="AJ5" s="19"/>
      <c r="AK5" s="19"/>
    </row>
    <row r="6" customFormat="false" ht="15" hidden="false" customHeight="false" outlineLevel="0" collapsed="false">
      <c r="A6" s="15" t="s">
        <v>56</v>
      </c>
      <c r="B6" s="20"/>
      <c r="C6" s="20"/>
      <c r="D6" s="20"/>
      <c r="E6" s="20"/>
      <c r="F6" s="21" t="s">
        <v>57</v>
      </c>
      <c r="G6" s="22" t="s">
        <v>57</v>
      </c>
      <c r="H6" s="20"/>
      <c r="I6" s="20"/>
      <c r="J6" s="20"/>
      <c r="K6" s="20"/>
      <c r="L6" s="20"/>
      <c r="M6" s="21" t="s">
        <v>57</v>
      </c>
      <c r="N6" s="22" t="s">
        <v>57</v>
      </c>
      <c r="O6" s="20"/>
      <c r="P6" s="20"/>
      <c r="Q6" s="20"/>
      <c r="R6" s="20"/>
      <c r="S6" s="20"/>
      <c r="T6" s="21" t="s">
        <v>57</v>
      </c>
      <c r="U6" s="22" t="s">
        <v>57</v>
      </c>
      <c r="V6" s="20"/>
      <c r="W6" s="20"/>
      <c r="X6" s="20"/>
      <c r="Y6" s="20"/>
      <c r="Z6" s="20"/>
      <c r="AA6" s="21" t="s">
        <v>57</v>
      </c>
      <c r="AB6" s="22" t="s">
        <v>57</v>
      </c>
      <c r="AC6" s="23"/>
      <c r="AD6" s="23"/>
      <c r="AE6" s="23"/>
      <c r="AF6" s="23"/>
      <c r="AG6" s="19"/>
      <c r="AH6" s="19"/>
      <c r="AI6" s="19"/>
      <c r="AJ6" s="19"/>
      <c r="AK6" s="19"/>
    </row>
    <row r="7" customFormat="false" ht="19.5" hidden="false" customHeight="true" outlineLevel="0" collapsed="false">
      <c r="A7" s="24" t="s">
        <v>58</v>
      </c>
      <c r="B7" s="25" t="s">
        <v>45</v>
      </c>
      <c r="C7" s="25" t="s">
        <v>45</v>
      </c>
      <c r="D7" s="25" t="s">
        <v>45</v>
      </c>
      <c r="E7" s="27" t="s">
        <v>59</v>
      </c>
      <c r="F7" s="25" t="s">
        <v>45</v>
      </c>
      <c r="G7" s="26" t="s">
        <v>46</v>
      </c>
      <c r="H7" s="26" t="s">
        <v>46</v>
      </c>
      <c r="I7" s="26" t="s">
        <v>46</v>
      </c>
      <c r="J7" s="27" t="s">
        <v>59</v>
      </c>
      <c r="K7" s="27" t="s">
        <v>59</v>
      </c>
      <c r="L7" s="26" t="s">
        <v>46</v>
      </c>
      <c r="M7" s="26" t="s">
        <v>46</v>
      </c>
      <c r="N7" s="26" t="s">
        <v>46</v>
      </c>
      <c r="O7" s="27" t="s">
        <v>59</v>
      </c>
      <c r="P7" s="27" t="s">
        <v>59</v>
      </c>
      <c r="Q7" s="26" t="s">
        <v>46</v>
      </c>
      <c r="R7" s="26" t="s">
        <v>46</v>
      </c>
      <c r="S7" s="26" t="s">
        <v>46</v>
      </c>
      <c r="T7" s="26" t="s">
        <v>46</v>
      </c>
      <c r="U7" s="27" t="s">
        <v>59</v>
      </c>
      <c r="V7" s="26" t="s">
        <v>46</v>
      </c>
      <c r="W7" s="25" t="s">
        <v>45</v>
      </c>
      <c r="X7" s="25" t="s">
        <v>45</v>
      </c>
      <c r="Y7" s="25" t="s">
        <v>45</v>
      </c>
      <c r="Z7" s="27" t="s">
        <v>59</v>
      </c>
      <c r="AA7" s="25" t="s">
        <v>45</v>
      </c>
      <c r="AB7" s="25" t="s">
        <v>45</v>
      </c>
      <c r="AC7" s="28" t="s">
        <v>60</v>
      </c>
      <c r="AD7" s="28" t="s">
        <v>60</v>
      </c>
      <c r="AE7" s="28" t="s">
        <v>60</v>
      </c>
      <c r="AF7" s="28" t="s">
        <v>60</v>
      </c>
      <c r="AG7" s="29" t="n">
        <f aca="false">COUNTIF($B7:$AF7,"A")+COUNTIF($B7:$AF7,"B")+COUNTIF($B7:$AF7,"式")</f>
        <v>20</v>
      </c>
      <c r="AH7" s="29" t="n">
        <f aca="false">COUNTIF($B7:$AF7,"休")+COUNTIF($B7:$AF7,"×")</f>
        <v>11</v>
      </c>
      <c r="AI7" s="29" t="n">
        <f aca="false">COUNTIF($B7:$AF7,"A")</f>
        <v>9</v>
      </c>
      <c r="AJ7" s="29" t="n">
        <f aca="false">COUNTIF($B7:$AF7,"B")</f>
        <v>11</v>
      </c>
      <c r="AK7" s="29" t="n">
        <f aca="false">SUMPRODUCT(($B$6:$AF$6="●")*($B7:$AF7="休"))</f>
        <v>1</v>
      </c>
    </row>
    <row r="8" customFormat="false" ht="19.5" hidden="false" customHeight="true" outlineLevel="0" collapsed="false">
      <c r="A8" s="24" t="s">
        <v>61</v>
      </c>
      <c r="B8" s="26" t="s">
        <v>46</v>
      </c>
      <c r="C8" s="26" t="s">
        <v>46</v>
      </c>
      <c r="D8" s="26" t="s">
        <v>46</v>
      </c>
      <c r="E8" s="26" t="s">
        <v>46</v>
      </c>
      <c r="F8" s="27" t="s">
        <v>59</v>
      </c>
      <c r="G8" s="27" t="s">
        <v>59</v>
      </c>
      <c r="H8" s="26" t="s">
        <v>46</v>
      </c>
      <c r="I8" s="26" t="s">
        <v>46</v>
      </c>
      <c r="J8" s="25" t="s">
        <v>45</v>
      </c>
      <c r="K8" s="25" t="s">
        <v>45</v>
      </c>
      <c r="L8" s="27" t="s">
        <v>59</v>
      </c>
      <c r="M8" s="27" t="s">
        <v>59</v>
      </c>
      <c r="N8" s="25" t="s">
        <v>45</v>
      </c>
      <c r="O8" s="25" t="s">
        <v>45</v>
      </c>
      <c r="P8" s="25" t="s">
        <v>45</v>
      </c>
      <c r="Q8" s="27" t="s">
        <v>59</v>
      </c>
      <c r="R8" s="25" t="s">
        <v>45</v>
      </c>
      <c r="S8" s="25" t="s">
        <v>45</v>
      </c>
      <c r="T8" s="26" t="s">
        <v>46</v>
      </c>
      <c r="U8" s="26" t="s">
        <v>46</v>
      </c>
      <c r="V8" s="27" t="s">
        <v>59</v>
      </c>
      <c r="W8" s="26" t="s">
        <v>46</v>
      </c>
      <c r="X8" s="26" t="s">
        <v>46</v>
      </c>
      <c r="Y8" s="27" t="s">
        <v>59</v>
      </c>
      <c r="Z8" s="26" t="s">
        <v>46</v>
      </c>
      <c r="AA8" s="25" t="s">
        <v>45</v>
      </c>
      <c r="AB8" s="25" t="s">
        <v>45</v>
      </c>
      <c r="AC8" s="28" t="s">
        <v>60</v>
      </c>
      <c r="AD8" s="28" t="s">
        <v>60</v>
      </c>
      <c r="AE8" s="28" t="s">
        <v>60</v>
      </c>
      <c r="AF8" s="28" t="s">
        <v>60</v>
      </c>
      <c r="AG8" s="29" t="n">
        <f aca="false">COUNTIF($B8:$AF8,"A")+COUNTIF($B8:$AF8,"B")+COUNTIF($B8:$AF8,"式")</f>
        <v>20</v>
      </c>
      <c r="AH8" s="29" t="n">
        <f aca="false">COUNTIF($B8:$AF8,"休")+COUNTIF($B8:$AF8,"×")</f>
        <v>11</v>
      </c>
      <c r="AI8" s="29" t="n">
        <f aca="false">COUNTIF($B8:$AF8,"A")</f>
        <v>9</v>
      </c>
      <c r="AJ8" s="29" t="n">
        <f aca="false">COUNTIF($B8:$AF8,"B")</f>
        <v>11</v>
      </c>
      <c r="AK8" s="29" t="n">
        <f aca="false">SUMPRODUCT(($B$6:$AF$6="●")*($B8:$AF8="休"))</f>
        <v>3</v>
      </c>
    </row>
    <row r="9" customFormat="false" ht="19.5" hidden="false" customHeight="true" outlineLevel="0" collapsed="false">
      <c r="A9" s="24" t="s">
        <v>62</v>
      </c>
      <c r="B9" s="25" t="s">
        <v>45</v>
      </c>
      <c r="C9" s="25" t="s">
        <v>45</v>
      </c>
      <c r="D9" s="27" t="s">
        <v>59</v>
      </c>
      <c r="E9" s="25" t="s">
        <v>45</v>
      </c>
      <c r="F9" s="25" t="s">
        <v>45</v>
      </c>
      <c r="G9" s="25" t="s">
        <v>45</v>
      </c>
      <c r="H9" s="27" t="s">
        <v>59</v>
      </c>
      <c r="I9" s="26" t="s">
        <v>46</v>
      </c>
      <c r="J9" s="26" t="s">
        <v>46</v>
      </c>
      <c r="K9" s="26" t="s">
        <v>46</v>
      </c>
      <c r="L9" s="26" t="s">
        <v>46</v>
      </c>
      <c r="M9" s="27" t="s">
        <v>59</v>
      </c>
      <c r="N9" s="27" t="s">
        <v>59</v>
      </c>
      <c r="O9" s="26" t="s">
        <v>46</v>
      </c>
      <c r="P9" s="26" t="s">
        <v>46</v>
      </c>
      <c r="Q9" s="26" t="s">
        <v>46</v>
      </c>
      <c r="R9" s="26" t="s">
        <v>46</v>
      </c>
      <c r="S9" s="27" t="s">
        <v>59</v>
      </c>
      <c r="T9" s="27" t="s">
        <v>59</v>
      </c>
      <c r="U9" s="25" t="s">
        <v>45</v>
      </c>
      <c r="V9" s="25" t="s">
        <v>45</v>
      </c>
      <c r="W9" s="25" t="s">
        <v>45</v>
      </c>
      <c r="X9" s="25" t="s">
        <v>45</v>
      </c>
      <c r="Y9" s="27" t="s">
        <v>59</v>
      </c>
      <c r="Z9" s="26" t="s">
        <v>46</v>
      </c>
      <c r="AA9" s="26" t="s">
        <v>46</v>
      </c>
      <c r="AB9" s="26" t="s">
        <v>46</v>
      </c>
      <c r="AC9" s="28" t="s">
        <v>60</v>
      </c>
      <c r="AD9" s="28" t="s">
        <v>60</v>
      </c>
      <c r="AE9" s="28" t="s">
        <v>60</v>
      </c>
      <c r="AF9" s="28" t="s">
        <v>60</v>
      </c>
      <c r="AG9" s="29" t="n">
        <f aca="false">COUNTIF($B9:$AF9,"A")+COUNTIF($B9:$AF9,"B")+COUNTIF($B9:$AF9,"式")</f>
        <v>20</v>
      </c>
      <c r="AH9" s="29" t="n">
        <f aca="false">COUNTIF($B9:$AF9,"休")+COUNTIF($B9:$AF9,"×")</f>
        <v>11</v>
      </c>
      <c r="AI9" s="29" t="n">
        <f aca="false">COUNTIF($B9:$AF9,"A")</f>
        <v>9</v>
      </c>
      <c r="AJ9" s="29" t="n">
        <f aca="false">COUNTIF($B9:$AF9,"B")</f>
        <v>11</v>
      </c>
      <c r="AK9" s="29" t="n">
        <f aca="false">SUMPRODUCT(($B$6:$AF$6="●")*($B9:$AF9="休"))</f>
        <v>3</v>
      </c>
    </row>
    <row r="10" customFormat="false" ht="19.5" hidden="false" customHeight="true" outlineLevel="0" collapsed="false">
      <c r="A10" s="24" t="s">
        <v>63</v>
      </c>
      <c r="B10" s="25" t="s">
        <v>45</v>
      </c>
      <c r="C10" s="25" t="s">
        <v>45</v>
      </c>
      <c r="D10" s="27" t="s">
        <v>59</v>
      </c>
      <c r="E10" s="26" t="s">
        <v>46</v>
      </c>
      <c r="F10" s="25" t="s">
        <v>45</v>
      </c>
      <c r="G10" s="25" t="s">
        <v>45</v>
      </c>
      <c r="H10" s="25" t="s">
        <v>45</v>
      </c>
      <c r="I10" s="27" t="s">
        <v>59</v>
      </c>
      <c r="J10" s="26" t="s">
        <v>46</v>
      </c>
      <c r="K10" s="26" t="s">
        <v>46</v>
      </c>
      <c r="L10" s="27" t="s">
        <v>59</v>
      </c>
      <c r="M10" s="27" t="s">
        <v>59</v>
      </c>
      <c r="N10" s="26" t="s">
        <v>46</v>
      </c>
      <c r="O10" s="26" t="s">
        <v>46</v>
      </c>
      <c r="P10" s="26" t="s">
        <v>46</v>
      </c>
      <c r="Q10" s="26" t="s">
        <v>46</v>
      </c>
      <c r="R10" s="27" t="s">
        <v>59</v>
      </c>
      <c r="S10" s="27" t="s">
        <v>59</v>
      </c>
      <c r="T10" s="25" t="s">
        <v>45</v>
      </c>
      <c r="U10" s="25" t="s">
        <v>45</v>
      </c>
      <c r="V10" s="26" t="s">
        <v>46</v>
      </c>
      <c r="W10" s="26" t="s">
        <v>46</v>
      </c>
      <c r="X10" s="27" t="s">
        <v>59</v>
      </c>
      <c r="Y10" s="26" t="s">
        <v>46</v>
      </c>
      <c r="Z10" s="26" t="s">
        <v>46</v>
      </c>
      <c r="AA10" s="25" t="s">
        <v>45</v>
      </c>
      <c r="AB10" s="25" t="s">
        <v>45</v>
      </c>
      <c r="AC10" s="28" t="s">
        <v>60</v>
      </c>
      <c r="AD10" s="28" t="s">
        <v>60</v>
      </c>
      <c r="AE10" s="28" t="s">
        <v>60</v>
      </c>
      <c r="AF10" s="28" t="s">
        <v>60</v>
      </c>
      <c r="AG10" s="29" t="n">
        <f aca="false">COUNTIF($B10:$AF10,"A")+COUNTIF($B10:$AF10,"B")+COUNTIF($B10:$AF10,"式")</f>
        <v>20</v>
      </c>
      <c r="AH10" s="29" t="n">
        <f aca="false">COUNTIF($B10:$AF10,"休")+COUNTIF($B10:$AF10,"×")</f>
        <v>11</v>
      </c>
      <c r="AI10" s="29" t="n">
        <f aca="false">COUNTIF($B10:$AF10,"A")</f>
        <v>9</v>
      </c>
      <c r="AJ10" s="29" t="n">
        <f aca="false">COUNTIF($B10:$AF10,"B")</f>
        <v>11</v>
      </c>
      <c r="AK10" s="29" t="n">
        <f aca="false">SUMPRODUCT(($B$6:$AF$6="●")*($B10:$AF10="休"))</f>
        <v>1</v>
      </c>
    </row>
    <row r="11" customFormat="false" ht="19.5" hidden="false" customHeight="true" outlineLevel="0" collapsed="false">
      <c r="A11" s="24" t="s">
        <v>64</v>
      </c>
      <c r="B11" s="26" t="s">
        <v>46</v>
      </c>
      <c r="C11" s="26" t="s">
        <v>46</v>
      </c>
      <c r="D11" s="26" t="s">
        <v>46</v>
      </c>
      <c r="E11" s="26" t="s">
        <v>46</v>
      </c>
      <c r="F11" s="27" t="s">
        <v>59</v>
      </c>
      <c r="G11" s="27" t="s">
        <v>59</v>
      </c>
      <c r="H11" s="25" t="s">
        <v>45</v>
      </c>
      <c r="I11" s="25" t="s">
        <v>45</v>
      </c>
      <c r="J11" s="25" t="s">
        <v>45</v>
      </c>
      <c r="K11" s="25" t="s">
        <v>45</v>
      </c>
      <c r="L11" s="27" t="s">
        <v>59</v>
      </c>
      <c r="M11" s="25" t="s">
        <v>45</v>
      </c>
      <c r="N11" s="25" t="s">
        <v>45</v>
      </c>
      <c r="O11" s="26" t="s">
        <v>46</v>
      </c>
      <c r="P11" s="26" t="s">
        <v>46</v>
      </c>
      <c r="Q11" s="27" t="s">
        <v>59</v>
      </c>
      <c r="R11" s="27" t="s">
        <v>59</v>
      </c>
      <c r="S11" s="26" t="s">
        <v>46</v>
      </c>
      <c r="T11" s="25" t="s">
        <v>45</v>
      </c>
      <c r="U11" s="25" t="s">
        <v>45</v>
      </c>
      <c r="V11" s="27" t="s">
        <v>59</v>
      </c>
      <c r="W11" s="25" t="s">
        <v>45</v>
      </c>
      <c r="X11" s="26" t="s">
        <v>46</v>
      </c>
      <c r="Y11" s="26" t="s">
        <v>46</v>
      </c>
      <c r="Z11" s="27" t="s">
        <v>59</v>
      </c>
      <c r="AA11" s="26" t="s">
        <v>46</v>
      </c>
      <c r="AB11" s="26" t="s">
        <v>46</v>
      </c>
      <c r="AC11" s="28" t="s">
        <v>60</v>
      </c>
      <c r="AD11" s="28" t="s">
        <v>60</v>
      </c>
      <c r="AE11" s="28" t="s">
        <v>60</v>
      </c>
      <c r="AF11" s="28" t="s">
        <v>60</v>
      </c>
      <c r="AG11" s="29" t="n">
        <f aca="false">COUNTIF($B11:$AF11,"A")+COUNTIF($B11:$AF11,"B")+COUNTIF($B11:$AF11,"式")</f>
        <v>20</v>
      </c>
      <c r="AH11" s="29" t="n">
        <f aca="false">COUNTIF($B11:$AF11,"休")+COUNTIF($B11:$AF11,"×")</f>
        <v>11</v>
      </c>
      <c r="AI11" s="29" t="n">
        <f aca="false">COUNTIF($B11:$AF11,"A")</f>
        <v>9</v>
      </c>
      <c r="AJ11" s="29" t="n">
        <f aca="false">COUNTIF($B11:$AF11,"B")</f>
        <v>11</v>
      </c>
      <c r="AK11" s="29" t="n">
        <f aca="false">SUMPRODUCT(($B$6:$AF$6="●")*($B11:$AF11="休"))</f>
        <v>2</v>
      </c>
    </row>
    <row r="12" customFormat="false" ht="19.5" hidden="false" customHeight="true" outlineLevel="0" collapsed="false">
      <c r="A12" s="24" t="s">
        <v>65</v>
      </c>
      <c r="B12" s="26" t="s">
        <v>46</v>
      </c>
      <c r="C12" s="26" t="s">
        <v>46</v>
      </c>
      <c r="D12" s="26" t="s">
        <v>46</v>
      </c>
      <c r="E12" s="27" t="s">
        <v>59</v>
      </c>
      <c r="F12" s="26" t="s">
        <v>46</v>
      </c>
      <c r="G12" s="26" t="s">
        <v>46</v>
      </c>
      <c r="H12" s="25" t="s">
        <v>45</v>
      </c>
      <c r="I12" s="25" t="s">
        <v>45</v>
      </c>
      <c r="J12" s="27" t="s">
        <v>59</v>
      </c>
      <c r="K12" s="27" t="s">
        <v>59</v>
      </c>
      <c r="L12" s="25" t="s">
        <v>45</v>
      </c>
      <c r="M12" s="25" t="s">
        <v>45</v>
      </c>
      <c r="N12" s="25" t="s">
        <v>45</v>
      </c>
      <c r="O12" s="26" t="s">
        <v>46</v>
      </c>
      <c r="P12" s="27" t="s">
        <v>59</v>
      </c>
      <c r="Q12" s="27" t="s">
        <v>59</v>
      </c>
      <c r="R12" s="26" t="s">
        <v>46</v>
      </c>
      <c r="S12" s="26" t="s">
        <v>46</v>
      </c>
      <c r="T12" s="26" t="s">
        <v>46</v>
      </c>
      <c r="U12" s="27" t="s">
        <v>59</v>
      </c>
      <c r="V12" s="26" t="s">
        <v>46</v>
      </c>
      <c r="W12" s="26" t="s">
        <v>46</v>
      </c>
      <c r="X12" s="26" t="s">
        <v>46</v>
      </c>
      <c r="Y12" s="27" t="s">
        <v>59</v>
      </c>
      <c r="Z12" s="25" t="s">
        <v>45</v>
      </c>
      <c r="AA12" s="25" t="s">
        <v>45</v>
      </c>
      <c r="AB12" s="25" t="s">
        <v>45</v>
      </c>
      <c r="AC12" s="28" t="s">
        <v>60</v>
      </c>
      <c r="AD12" s="28" t="s">
        <v>60</v>
      </c>
      <c r="AE12" s="28" t="s">
        <v>60</v>
      </c>
      <c r="AF12" s="28" t="s">
        <v>60</v>
      </c>
      <c r="AG12" s="29" t="n">
        <f aca="false">COUNTIF($B12:$AF12,"A")+COUNTIF($B12:$AF12,"B")+COUNTIF($B12:$AF12,"式")</f>
        <v>20</v>
      </c>
      <c r="AH12" s="29" t="n">
        <f aca="false">COUNTIF($B12:$AF12,"休")+COUNTIF($B12:$AF12,"×")</f>
        <v>11</v>
      </c>
      <c r="AI12" s="29" t="n">
        <f aca="false">COUNTIF($B12:$AF12,"A")</f>
        <v>8</v>
      </c>
      <c r="AJ12" s="29" t="n">
        <f aca="false">COUNTIF($B12:$AF12,"B")</f>
        <v>12</v>
      </c>
      <c r="AK12" s="29" t="n">
        <f aca="false">SUMPRODUCT(($B$6:$AF$6="●")*($B12:$AF12="休"))</f>
        <v>1</v>
      </c>
    </row>
    <row r="13" customFormat="false" ht="19.5" hidden="false" customHeight="true" outlineLevel="0" collapsed="false">
      <c r="A13" s="24" t="s">
        <v>66</v>
      </c>
      <c r="B13" s="26" t="s">
        <v>46</v>
      </c>
      <c r="C13" s="26" t="s">
        <v>46</v>
      </c>
      <c r="D13" s="27" t="s">
        <v>59</v>
      </c>
      <c r="E13" s="26" t="s">
        <v>46</v>
      </c>
      <c r="F13" s="26" t="s">
        <v>46</v>
      </c>
      <c r="G13" s="26" t="s">
        <v>46</v>
      </c>
      <c r="H13" s="27" t="s">
        <v>59</v>
      </c>
      <c r="I13" s="27" t="s">
        <v>59</v>
      </c>
      <c r="J13" s="26" t="s">
        <v>46</v>
      </c>
      <c r="K13" s="26" t="s">
        <v>46</v>
      </c>
      <c r="L13" s="25" t="s">
        <v>45</v>
      </c>
      <c r="M13" s="25" t="s">
        <v>45</v>
      </c>
      <c r="N13" s="27" t="s">
        <v>59</v>
      </c>
      <c r="O13" s="25" t="s">
        <v>45</v>
      </c>
      <c r="P13" s="25" t="s">
        <v>45</v>
      </c>
      <c r="Q13" s="25" t="s">
        <v>45</v>
      </c>
      <c r="R13" s="27" t="s">
        <v>59</v>
      </c>
      <c r="S13" s="27" t="s">
        <v>59</v>
      </c>
      <c r="T13" s="25" t="s">
        <v>45</v>
      </c>
      <c r="U13" s="25" t="s">
        <v>45</v>
      </c>
      <c r="V13" s="25" t="s">
        <v>45</v>
      </c>
      <c r="W13" s="26" t="s">
        <v>46</v>
      </c>
      <c r="X13" s="27" t="s">
        <v>59</v>
      </c>
      <c r="Y13" s="26" t="s">
        <v>46</v>
      </c>
      <c r="Z13" s="26" t="s">
        <v>46</v>
      </c>
      <c r="AA13" s="26" t="s">
        <v>46</v>
      </c>
      <c r="AB13" s="26" t="s">
        <v>46</v>
      </c>
      <c r="AC13" s="28" t="s">
        <v>60</v>
      </c>
      <c r="AD13" s="28" t="s">
        <v>60</v>
      </c>
      <c r="AE13" s="28" t="s">
        <v>60</v>
      </c>
      <c r="AF13" s="28" t="s">
        <v>60</v>
      </c>
      <c r="AG13" s="29" t="n">
        <f aca="false">COUNTIF($B13:$AF13,"A")+COUNTIF($B13:$AF13,"B")+COUNTIF($B13:$AF13,"式")</f>
        <v>20</v>
      </c>
      <c r="AH13" s="29" t="n">
        <f aca="false">COUNTIF($B13:$AF13,"休")+COUNTIF($B13:$AF13,"×")</f>
        <v>11</v>
      </c>
      <c r="AI13" s="29" t="n">
        <f aca="false">COUNTIF($B13:$AF13,"A")</f>
        <v>8</v>
      </c>
      <c r="AJ13" s="29" t="n">
        <f aca="false">COUNTIF($B13:$AF13,"B")</f>
        <v>12</v>
      </c>
      <c r="AK13" s="29" t="n">
        <f aca="false">SUMPRODUCT(($B$6:$AF$6="●")*($B13:$AF13="休"))</f>
        <v>1</v>
      </c>
    </row>
    <row r="14" customFormat="false" ht="19.5" hidden="false" customHeight="true" outlineLevel="0" collapsed="false">
      <c r="A14" s="24" t="s">
        <v>67</v>
      </c>
      <c r="B14" s="26" t="s">
        <v>46</v>
      </c>
      <c r="C14" s="26" t="s">
        <v>46</v>
      </c>
      <c r="D14" s="26" t="s">
        <v>46</v>
      </c>
      <c r="E14" s="27" t="s">
        <v>59</v>
      </c>
      <c r="F14" s="25" t="s">
        <v>45</v>
      </c>
      <c r="G14" s="25" t="s">
        <v>45</v>
      </c>
      <c r="H14" s="26" t="s">
        <v>46</v>
      </c>
      <c r="I14" s="26" t="s">
        <v>46</v>
      </c>
      <c r="J14" s="27" t="s">
        <v>59</v>
      </c>
      <c r="K14" s="27" t="s">
        <v>59</v>
      </c>
      <c r="L14" s="26" t="s">
        <v>46</v>
      </c>
      <c r="M14" s="25" t="s">
        <v>45</v>
      </c>
      <c r="N14" s="25" t="s">
        <v>45</v>
      </c>
      <c r="O14" s="25" t="s">
        <v>45</v>
      </c>
      <c r="P14" s="27" t="s">
        <v>59</v>
      </c>
      <c r="Q14" s="25" t="s">
        <v>45</v>
      </c>
      <c r="R14" s="25" t="s">
        <v>45</v>
      </c>
      <c r="S14" s="25" t="s">
        <v>45</v>
      </c>
      <c r="T14" s="25" t="s">
        <v>45</v>
      </c>
      <c r="U14" s="27" t="s">
        <v>59</v>
      </c>
      <c r="V14" s="27" t="s">
        <v>59</v>
      </c>
      <c r="W14" s="26" t="s">
        <v>46</v>
      </c>
      <c r="X14" s="26" t="s">
        <v>46</v>
      </c>
      <c r="Y14" s="26" t="s">
        <v>46</v>
      </c>
      <c r="Z14" s="27" t="s">
        <v>59</v>
      </c>
      <c r="AA14" s="26" t="s">
        <v>46</v>
      </c>
      <c r="AB14" s="26" t="s">
        <v>46</v>
      </c>
      <c r="AC14" s="28" t="s">
        <v>60</v>
      </c>
      <c r="AD14" s="28" t="s">
        <v>60</v>
      </c>
      <c r="AE14" s="28" t="s">
        <v>60</v>
      </c>
      <c r="AF14" s="28" t="s">
        <v>60</v>
      </c>
      <c r="AG14" s="29" t="n">
        <f aca="false">COUNTIF($B14:$AF14,"A")+COUNTIF($B14:$AF14,"B")+COUNTIF($B14:$AF14,"式")</f>
        <v>20</v>
      </c>
      <c r="AH14" s="29" t="n">
        <f aca="false">COUNTIF($B14:$AF14,"休")+COUNTIF($B14:$AF14,"×")</f>
        <v>11</v>
      </c>
      <c r="AI14" s="29" t="n">
        <f aca="false">COUNTIF($B14:$AF14,"A")</f>
        <v>9</v>
      </c>
      <c r="AJ14" s="29" t="n">
        <f aca="false">COUNTIF($B14:$AF14,"B")</f>
        <v>11</v>
      </c>
      <c r="AK14" s="29" t="n">
        <f aca="false">SUMPRODUCT(($B$6:$AF$6="●")*($B14:$AF14="休"))</f>
        <v>1</v>
      </c>
    </row>
    <row r="15" customFormat="false" ht="19.5" hidden="false" customHeight="true" outlineLevel="0" collapsed="false">
      <c r="A15" s="24" t="s">
        <v>68</v>
      </c>
      <c r="B15" s="25" t="s">
        <v>45</v>
      </c>
      <c r="C15" s="25" t="s">
        <v>45</v>
      </c>
      <c r="D15" s="25" t="s">
        <v>45</v>
      </c>
      <c r="E15" s="25" t="s">
        <v>45</v>
      </c>
      <c r="F15" s="27" t="s">
        <v>59</v>
      </c>
      <c r="G15" s="25" t="s">
        <v>45</v>
      </c>
      <c r="H15" s="26" t="s">
        <v>46</v>
      </c>
      <c r="I15" s="27" t="s">
        <v>59</v>
      </c>
      <c r="J15" s="26" t="s">
        <v>46</v>
      </c>
      <c r="K15" s="26" t="s">
        <v>46</v>
      </c>
      <c r="L15" s="26" t="s">
        <v>46</v>
      </c>
      <c r="M15" s="26" t="s">
        <v>46</v>
      </c>
      <c r="N15" s="27" t="s">
        <v>59</v>
      </c>
      <c r="O15" s="27" t="s">
        <v>59</v>
      </c>
      <c r="P15" s="26" t="s">
        <v>46</v>
      </c>
      <c r="Q15" s="26" t="s">
        <v>46</v>
      </c>
      <c r="R15" s="26" t="s">
        <v>46</v>
      </c>
      <c r="S15" s="26" t="s">
        <v>46</v>
      </c>
      <c r="T15" s="27" t="s">
        <v>59</v>
      </c>
      <c r="U15" s="26" t="s">
        <v>46</v>
      </c>
      <c r="V15" s="26" t="s">
        <v>46</v>
      </c>
      <c r="W15" s="27" t="s">
        <v>59</v>
      </c>
      <c r="X15" s="27" t="s">
        <v>59</v>
      </c>
      <c r="Y15" s="25" t="s">
        <v>45</v>
      </c>
      <c r="Z15" s="25" t="s">
        <v>45</v>
      </c>
      <c r="AA15" s="25" t="s">
        <v>45</v>
      </c>
      <c r="AB15" s="25" t="s">
        <v>45</v>
      </c>
      <c r="AC15" s="28" t="s">
        <v>60</v>
      </c>
      <c r="AD15" s="28" t="s">
        <v>60</v>
      </c>
      <c r="AE15" s="28" t="s">
        <v>60</v>
      </c>
      <c r="AF15" s="28" t="s">
        <v>60</v>
      </c>
      <c r="AG15" s="29" t="n">
        <f aca="false">COUNTIF($B15:$AF15,"A")+COUNTIF($B15:$AF15,"B")+COUNTIF($B15:$AF15,"式")</f>
        <v>20</v>
      </c>
      <c r="AH15" s="29" t="n">
        <f aca="false">COUNTIF($B15:$AF15,"休")+COUNTIF($B15:$AF15,"×")</f>
        <v>11</v>
      </c>
      <c r="AI15" s="29" t="n">
        <f aca="false">COUNTIF($B15:$AF15,"A")</f>
        <v>9</v>
      </c>
      <c r="AJ15" s="29" t="n">
        <f aca="false">COUNTIF($B15:$AF15,"B")</f>
        <v>11</v>
      </c>
      <c r="AK15" s="29" t="n">
        <f aca="false">SUMPRODUCT(($B$6:$AF$6="●")*($B15:$AF15="休"))</f>
        <v>3</v>
      </c>
    </row>
    <row r="16" customFormat="false" ht="15" hidden="false" customHeight="false" outlineLevel="0" collapsed="false">
      <c r="A16" s="30" t="s">
        <v>69</v>
      </c>
      <c r="B16" s="15" t="n">
        <f aca="false">COUNTIF(B$7:B$15,"A")+COUNTIF(B$7:B$15,"B")+COUNTIF(B$7:B$15,"式")</f>
        <v>9</v>
      </c>
      <c r="C16" s="15" t="n">
        <f aca="false">COUNTIF(C$7:C$15,"A")+COUNTIF(C$7:C$15,"B")+COUNTIF(C$7:C$15,"式")</f>
        <v>9</v>
      </c>
      <c r="D16" s="15" t="n">
        <f aca="false">COUNTIF(D$7:D$15,"A")+COUNTIF(D$7:D$15,"B")+COUNTIF(D$7:D$15,"式")</f>
        <v>6</v>
      </c>
      <c r="E16" s="15" t="n">
        <f aca="false">COUNTIF(E$7:E$15,"A")+COUNTIF(E$7:E$15,"B")+COUNTIF(E$7:E$15,"式")</f>
        <v>6</v>
      </c>
      <c r="F16" s="15" t="n">
        <f aca="false">COUNTIF(F$7:F$15,"A")+COUNTIF(F$7:F$15,"B")+COUNTIF(F$7:F$15,"式")</f>
        <v>6</v>
      </c>
      <c r="G16" s="15" t="n">
        <f aca="false">COUNTIF(G$7:G$15,"A")+COUNTIF(G$7:G$15,"B")+COUNTIF(G$7:G$15,"式")</f>
        <v>7</v>
      </c>
      <c r="H16" s="15" t="n">
        <f aca="false">COUNTIF(H$7:H$15,"A")+COUNTIF(H$7:H$15,"B")+COUNTIF(H$7:H$15,"式")</f>
        <v>7</v>
      </c>
      <c r="I16" s="15" t="n">
        <f aca="false">COUNTIF(I$7:I$15,"A")+COUNTIF(I$7:I$15,"B")+COUNTIF(I$7:I$15,"式")</f>
        <v>6</v>
      </c>
      <c r="J16" s="15" t="n">
        <f aca="false">COUNTIF(J$7:J$15,"A")+COUNTIF(J$7:J$15,"B")+COUNTIF(J$7:J$15,"式")</f>
        <v>6</v>
      </c>
      <c r="K16" s="15" t="n">
        <f aca="false">COUNTIF(K$7:K$15,"A")+COUNTIF(K$7:K$15,"B")+COUNTIF(K$7:K$15,"式")</f>
        <v>6</v>
      </c>
      <c r="L16" s="15" t="n">
        <f aca="false">COUNTIF(L$7:L$15,"A")+COUNTIF(L$7:L$15,"B")+COUNTIF(L$7:L$15,"式")</f>
        <v>6</v>
      </c>
      <c r="M16" s="15" t="n">
        <f aca="false">COUNTIF(M$7:M$15,"A")+COUNTIF(M$7:M$15,"B")+COUNTIF(M$7:M$15,"式")</f>
        <v>6</v>
      </c>
      <c r="N16" s="15" t="n">
        <f aca="false">COUNTIF(N$7:N$15,"A")+COUNTIF(N$7:N$15,"B")+COUNTIF(N$7:N$15,"式")</f>
        <v>6</v>
      </c>
      <c r="O16" s="15" t="n">
        <f aca="false">COUNTIF(O$7:O$15,"A")+COUNTIF(O$7:O$15,"B")+COUNTIF(O$7:O$15,"式")</f>
        <v>7</v>
      </c>
      <c r="P16" s="15" t="n">
        <f aca="false">COUNTIF(P$7:P$15,"A")+COUNTIF(P$7:P$15,"B")+COUNTIF(P$7:P$15,"式")</f>
        <v>6</v>
      </c>
      <c r="Q16" s="15" t="n">
        <f aca="false">COUNTIF(Q$7:Q$15,"A")+COUNTIF(Q$7:Q$15,"B")+COUNTIF(Q$7:Q$15,"式")</f>
        <v>6</v>
      </c>
      <c r="R16" s="15" t="n">
        <f aca="false">COUNTIF(R$7:R$15,"A")+COUNTIF(R$7:R$15,"B")+COUNTIF(R$7:R$15,"式")</f>
        <v>6</v>
      </c>
      <c r="S16" s="15" t="n">
        <f aca="false">COUNTIF(S$7:S$15,"A")+COUNTIF(S$7:S$15,"B")+COUNTIF(S$7:S$15,"式")</f>
        <v>6</v>
      </c>
      <c r="T16" s="15" t="n">
        <f aca="false">COUNTIF(T$7:T$15,"A")+COUNTIF(T$7:T$15,"B")+COUNTIF(T$7:T$15,"式")</f>
        <v>7</v>
      </c>
      <c r="U16" s="15" t="n">
        <f aca="false">COUNTIF(U$7:U$15,"A")+COUNTIF(U$7:U$15,"B")+COUNTIF(U$7:U$15,"式")</f>
        <v>6</v>
      </c>
      <c r="V16" s="15" t="n">
        <f aca="false">COUNTIF(V$7:V$15,"A")+COUNTIF(V$7:V$15,"B")+COUNTIF(V$7:V$15,"式")</f>
        <v>6</v>
      </c>
      <c r="W16" s="15" t="n">
        <f aca="false">COUNTIF(W$7:W$15,"A")+COUNTIF(W$7:W$15,"B")+COUNTIF(W$7:W$15,"式")</f>
        <v>8</v>
      </c>
      <c r="X16" s="15" t="n">
        <f aca="false">COUNTIF(X$7:X$15,"A")+COUNTIF(X$7:X$15,"B")+COUNTIF(X$7:X$15,"式")</f>
        <v>6</v>
      </c>
      <c r="Y16" s="15" t="n">
        <f aca="false">COUNTIF(Y$7:Y$15,"A")+COUNTIF(Y$7:Y$15,"B")+COUNTIF(Y$7:Y$15,"式")</f>
        <v>6</v>
      </c>
      <c r="Z16" s="15" t="n">
        <f aca="false">COUNTIF(Z$7:Z$15,"A")+COUNTIF(Z$7:Z$15,"B")+COUNTIF(Z$7:Z$15,"式")</f>
        <v>6</v>
      </c>
      <c r="AA16" s="15" t="n">
        <f aca="false">COUNTIF(AA$7:AA$15,"A")+COUNTIF(AA$7:AA$15,"B")+COUNTIF(AA$7:AA$15,"式")</f>
        <v>9</v>
      </c>
      <c r="AB16" s="15" t="n">
        <f aca="false">COUNTIF(AB$7:AB$15,"A")+COUNTIF(AB$7:AB$15,"B")+COUNTIF(AB$7:AB$15,"式")</f>
        <v>9</v>
      </c>
      <c r="AC16" s="15" t="n">
        <f aca="false">COUNTIF(AC$7:AC$15,"A")+COUNTIF(AC$7:AC$15,"B")+COUNTIF(AC$7:AC$15,"式")</f>
        <v>0</v>
      </c>
      <c r="AD16" s="15" t="n">
        <f aca="false">COUNTIF(AD$7:AD$15,"A")+COUNTIF(AD$7:AD$15,"B")+COUNTIF(AD$7:AD$15,"式")</f>
        <v>0</v>
      </c>
      <c r="AE16" s="15" t="n">
        <f aca="false">COUNTIF(AE$7:AE$15,"A")+COUNTIF(AE$7:AE$15,"B")+COUNTIF(AE$7:AE$15,"式")</f>
        <v>0</v>
      </c>
      <c r="AF16" s="15" t="n">
        <f aca="false">COUNTIF(AF$7:AF$15,"A")+COUNTIF(AF$7:AF$15,"B")+COUNTIF(AF$7:AF$15,"式")</f>
        <v>0</v>
      </c>
      <c r="AG16" s="31" t="n">
        <f aca="false">SUM(B16:AF16)</f>
        <v>180</v>
      </c>
    </row>
    <row r="17" customFormat="false" ht="15" hidden="false" customHeight="false" outlineLevel="0" collapsed="false">
      <c r="A17" s="32" t="s">
        <v>70</v>
      </c>
      <c r="B17" s="33" t="n">
        <f aca="false">COUNTIF(B$7:B$15,"A")</f>
        <v>4</v>
      </c>
      <c r="C17" s="33" t="n">
        <f aca="false">COUNTIF(C$7:C$15,"A")</f>
        <v>4</v>
      </c>
      <c r="D17" s="33" t="n">
        <f aca="false">COUNTIF(D$7:D$15,"A")</f>
        <v>2</v>
      </c>
      <c r="E17" s="33" t="n">
        <f aca="false">COUNTIF(E$7:E$15,"A")</f>
        <v>2</v>
      </c>
      <c r="F17" s="33" t="n">
        <f aca="false">COUNTIF(F$7:F$15,"A")</f>
        <v>4</v>
      </c>
      <c r="G17" s="33" t="n">
        <f aca="false">COUNTIF(G$7:G$15,"A")</f>
        <v>4</v>
      </c>
      <c r="H17" s="33" t="n">
        <f aca="false">COUNTIF(H$7:H$15,"A")</f>
        <v>3</v>
      </c>
      <c r="I17" s="33" t="n">
        <f aca="false">COUNTIF(I$7:I$15,"A")</f>
        <v>2</v>
      </c>
      <c r="J17" s="33" t="n">
        <f aca="false">COUNTIF(J$7:J$15,"A")</f>
        <v>2</v>
      </c>
      <c r="K17" s="33" t="n">
        <f aca="false">COUNTIF(K$7:K$15,"A")</f>
        <v>2</v>
      </c>
      <c r="L17" s="33" t="n">
        <f aca="false">COUNTIF(L$7:L$15,"A")</f>
        <v>2</v>
      </c>
      <c r="M17" s="33" t="n">
        <f aca="false">COUNTIF(M$7:M$15,"A")</f>
        <v>4</v>
      </c>
      <c r="N17" s="33" t="n">
        <f aca="false">COUNTIF(N$7:N$15,"A")</f>
        <v>4</v>
      </c>
      <c r="O17" s="33" t="n">
        <f aca="false">COUNTIF(O$7:O$15,"A")</f>
        <v>3</v>
      </c>
      <c r="P17" s="33" t="n">
        <f aca="false">COUNTIF(P$7:P$15,"A")</f>
        <v>2</v>
      </c>
      <c r="Q17" s="33" t="n">
        <f aca="false">COUNTIF(Q$7:Q$15,"A")</f>
        <v>2</v>
      </c>
      <c r="R17" s="33" t="n">
        <f aca="false">COUNTIF(R$7:R$15,"A")</f>
        <v>2</v>
      </c>
      <c r="S17" s="33" t="n">
        <f aca="false">COUNTIF(S$7:S$15,"A")</f>
        <v>2</v>
      </c>
      <c r="T17" s="33" t="n">
        <f aca="false">COUNTIF(T$7:T$15,"A")</f>
        <v>4</v>
      </c>
      <c r="U17" s="33" t="n">
        <f aca="false">COUNTIF(U$7:U$15,"A")</f>
        <v>4</v>
      </c>
      <c r="V17" s="33" t="n">
        <f aca="false">COUNTIF(V$7:V$15,"A")</f>
        <v>2</v>
      </c>
      <c r="W17" s="33" t="n">
        <f aca="false">COUNTIF(W$7:W$15,"A")</f>
        <v>3</v>
      </c>
      <c r="X17" s="33" t="n">
        <f aca="false">COUNTIF(X$7:X$15,"A")</f>
        <v>2</v>
      </c>
      <c r="Y17" s="33" t="n">
        <f aca="false">COUNTIF(Y$7:Y$15,"A")</f>
        <v>2</v>
      </c>
      <c r="Z17" s="33" t="n">
        <f aca="false">COUNTIF(Z$7:Z$15,"A")</f>
        <v>2</v>
      </c>
      <c r="AA17" s="33" t="n">
        <f aca="false">COUNTIF(AA$7:AA$15,"A")</f>
        <v>5</v>
      </c>
      <c r="AB17" s="33" t="n">
        <f aca="false">COUNTIF(AB$7:AB$15,"A")</f>
        <v>5</v>
      </c>
      <c r="AC17" s="33" t="n">
        <f aca="false">COUNTIF(AC$7:AC$15,"A")</f>
        <v>0</v>
      </c>
      <c r="AD17" s="33" t="n">
        <f aca="false">COUNTIF(AD$7:AD$15,"A")</f>
        <v>0</v>
      </c>
      <c r="AE17" s="33" t="n">
        <f aca="false">COUNTIF(AE$7:AE$15,"A")</f>
        <v>0</v>
      </c>
      <c r="AF17" s="33" t="n">
        <f aca="false">COUNTIF(AF$7:AF$15,"A")</f>
        <v>0</v>
      </c>
      <c r="AG17" s="31" t="n">
        <f aca="false">SUM(B17:AF17)</f>
        <v>79</v>
      </c>
    </row>
    <row r="18" customFormat="false" ht="15" hidden="false" customHeight="false" outlineLevel="0" collapsed="false">
      <c r="A18" s="32" t="s">
        <v>71</v>
      </c>
      <c r="B18" s="33" t="n">
        <f aca="false">COUNTIF(B$7:B$15,"B")</f>
        <v>5</v>
      </c>
      <c r="C18" s="33" t="n">
        <f aca="false">COUNTIF(C$7:C$15,"B")</f>
        <v>5</v>
      </c>
      <c r="D18" s="33" t="n">
        <f aca="false">COUNTIF(D$7:D$15,"B")</f>
        <v>4</v>
      </c>
      <c r="E18" s="33" t="n">
        <f aca="false">COUNTIF(E$7:E$15,"B")</f>
        <v>4</v>
      </c>
      <c r="F18" s="33" t="n">
        <f aca="false">COUNTIF(F$7:F$15,"B")</f>
        <v>2</v>
      </c>
      <c r="G18" s="33" t="n">
        <f aca="false">COUNTIF(G$7:G$15,"B")</f>
        <v>3</v>
      </c>
      <c r="H18" s="33" t="n">
        <f aca="false">COUNTIF(H$7:H$15,"B")</f>
        <v>4</v>
      </c>
      <c r="I18" s="33" t="n">
        <f aca="false">COUNTIF(I$7:I$15,"B")</f>
        <v>4</v>
      </c>
      <c r="J18" s="33" t="n">
        <f aca="false">COUNTIF(J$7:J$15,"B")</f>
        <v>4</v>
      </c>
      <c r="K18" s="33" t="n">
        <f aca="false">COUNTIF(K$7:K$15,"B")</f>
        <v>4</v>
      </c>
      <c r="L18" s="33" t="n">
        <f aca="false">COUNTIF(L$7:L$15,"B")</f>
        <v>4</v>
      </c>
      <c r="M18" s="33" t="n">
        <f aca="false">COUNTIF(M$7:M$15,"B")</f>
        <v>2</v>
      </c>
      <c r="N18" s="33" t="n">
        <f aca="false">COUNTIF(N$7:N$15,"B")</f>
        <v>2</v>
      </c>
      <c r="O18" s="33" t="n">
        <f aca="false">COUNTIF(O$7:O$15,"B")</f>
        <v>4</v>
      </c>
      <c r="P18" s="33" t="n">
        <f aca="false">COUNTIF(P$7:P$15,"B")</f>
        <v>4</v>
      </c>
      <c r="Q18" s="33" t="n">
        <f aca="false">COUNTIF(Q$7:Q$15,"B")</f>
        <v>4</v>
      </c>
      <c r="R18" s="33" t="n">
        <f aca="false">COUNTIF(R$7:R$15,"B")</f>
        <v>4</v>
      </c>
      <c r="S18" s="33" t="n">
        <f aca="false">COUNTIF(S$7:S$15,"B")</f>
        <v>4</v>
      </c>
      <c r="T18" s="33" t="n">
        <f aca="false">COUNTIF(T$7:T$15,"B")</f>
        <v>3</v>
      </c>
      <c r="U18" s="33" t="n">
        <f aca="false">COUNTIF(U$7:U$15,"B")</f>
        <v>2</v>
      </c>
      <c r="V18" s="33" t="n">
        <f aca="false">COUNTIF(V$7:V$15,"B")</f>
        <v>4</v>
      </c>
      <c r="W18" s="33" t="n">
        <f aca="false">COUNTIF(W$7:W$15,"B")</f>
        <v>5</v>
      </c>
      <c r="X18" s="33" t="n">
        <f aca="false">COUNTIF(X$7:X$15,"B")</f>
        <v>4</v>
      </c>
      <c r="Y18" s="33" t="n">
        <f aca="false">COUNTIF(Y$7:Y$15,"B")</f>
        <v>4</v>
      </c>
      <c r="Z18" s="33" t="n">
        <f aca="false">COUNTIF(Z$7:Z$15,"B")</f>
        <v>4</v>
      </c>
      <c r="AA18" s="33" t="n">
        <f aca="false">COUNTIF(AA$7:AA$15,"B")</f>
        <v>4</v>
      </c>
      <c r="AB18" s="33" t="n">
        <f aca="false">COUNTIF(AB$7:AB$15,"B")</f>
        <v>4</v>
      </c>
      <c r="AC18" s="33" t="n">
        <f aca="false">COUNTIF(AC$7:AC$15,"B")</f>
        <v>0</v>
      </c>
      <c r="AD18" s="33" t="n">
        <f aca="false">COUNTIF(AD$7:AD$15,"B")</f>
        <v>0</v>
      </c>
      <c r="AE18" s="33" t="n">
        <f aca="false">COUNTIF(AE$7:AE$15,"B")</f>
        <v>0</v>
      </c>
      <c r="AF18" s="33" t="n">
        <f aca="false">COUNTIF(AF$7:AF$15,"B")</f>
        <v>0</v>
      </c>
      <c r="AG18" s="31" t="n">
        <f aca="false">SUM(B18:AF18)</f>
        <v>101</v>
      </c>
    </row>
    <row r="20" customFormat="false" ht="15" hidden="false" customHeight="false" outlineLevel="0" collapsed="false">
      <c r="A20" s="12" t="s">
        <v>80</v>
      </c>
    </row>
    <row r="21" customFormat="false" ht="15" hidden="false" customHeight="false" outlineLevel="0" collapsed="false">
      <c r="A21" s="1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2026-08-27T09:44:30Z</dcterms:created>
  <dc:creator>openpyxl</dc:creator>
  <dc:description/>
  <dc:language>en-US</dc:language>
  <cp:lastModifiedBy/>
  <dcterms:modified xsi:type="dcterms:W3CDTF">2026-08-27T09:44:30Z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