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月1〜15日" sheetId="1" state="visible" r:id="rId3"/>
  </sheets>
  <definedNames>
    <definedName function="false" hidden="false" localSheetId="0" name="_xlnm.Print_Area" vbProcedure="false">'9月1〜15日'!$A$1:$S$20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<sst xmlns="http://schemas.openxmlformats.org/spreadsheetml/2006/main" count="171" uniqueCount="30">
  <si>
    <r>
      <rPr>
        <b val="true"/>
        <sz val="14"/>
        <rFont val="Arial"/>
        <family val="0"/>
        <charset val="1"/>
      </rPr>
      <t xml:space="preserve">VISUAL LABO </t>
    </r>
    <r>
      <rPr>
        <b val="true"/>
        <sz val="14"/>
        <rFont val="Noto Sans CJK SC"/>
        <family val="2"/>
      </rPr>
      <t xml:space="preserve">新橋店　シフト表　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日〜</t>
    </r>
    <r>
      <rPr>
        <b val="true"/>
        <sz val="14"/>
        <rFont val="Arial"/>
        <family val="0"/>
        <charset val="1"/>
      </rPr>
      <t xml:space="preserve">15</t>
    </r>
    <r>
      <rPr>
        <b val="true"/>
        <sz val="14"/>
        <rFont val="Noto Sans CJK SC"/>
        <family val="2"/>
      </rPr>
      <t xml:space="preserve">日</t>
    </r>
  </si>
  <si>
    <r>
      <rPr>
        <sz val="9"/>
        <color rgb="FF404040"/>
        <rFont val="Arial"/>
        <family val="0"/>
        <charset val="1"/>
      </rPr>
      <t xml:space="preserve">A</t>
    </r>
    <r>
      <rPr>
        <sz val="9"/>
        <color rgb="FF404040"/>
        <rFont val="Noto Sans CJK SC"/>
        <family val="2"/>
      </rPr>
      <t xml:space="preserve">＝早番 </t>
    </r>
    <r>
      <rPr>
        <sz val="9"/>
        <color rgb="FF404040"/>
        <rFont val="Arial"/>
        <family val="0"/>
        <charset val="1"/>
      </rPr>
      <t xml:space="preserve">11:00–20:00</t>
    </r>
    <r>
      <rPr>
        <sz val="9"/>
        <color rgb="FF404040"/>
        <rFont val="Noto Sans CJK SC"/>
        <family val="2"/>
      </rPr>
      <t xml:space="preserve">　</t>
    </r>
    <r>
      <rPr>
        <sz val="9"/>
        <color rgb="FF404040"/>
        <rFont val="Arial"/>
        <family val="0"/>
        <charset val="1"/>
      </rPr>
      <t xml:space="preserve">B</t>
    </r>
    <r>
      <rPr>
        <sz val="9"/>
        <color rgb="FF404040"/>
        <rFont val="Noto Sans CJK SC"/>
        <family val="2"/>
      </rPr>
      <t xml:space="preserve">＝遅番 </t>
    </r>
    <r>
      <rPr>
        <sz val="9"/>
        <color rgb="FF404040"/>
        <rFont val="Arial"/>
        <family val="0"/>
        <charset val="1"/>
      </rPr>
      <t xml:space="preserve">12:00–21:00</t>
    </r>
    <r>
      <rPr>
        <sz val="9"/>
        <color rgb="FF404040"/>
        <rFont val="Noto Sans CJK SC"/>
        <family val="2"/>
      </rPr>
      <t xml:space="preserve">　休＝公休</t>
    </r>
  </si>
  <si>
    <t xml:space="preserve">氏名</t>
  </si>
  <si>
    <r>
      <rPr>
        <b val="true"/>
        <sz val="11"/>
        <color rgb="FFFFFFFF"/>
        <rFont val="Arial"/>
        <family val="0"/>
        <charset val="1"/>
      </rPr>
      <t xml:space="preserve">A 6</t>
    </r>
    <r>
      <rPr>
        <b val="true"/>
        <sz val="11"/>
        <color rgb="FFFFFFFF"/>
        <rFont val="Noto Sans CJK SC"/>
        <family val="2"/>
      </rPr>
      <t xml:space="preserve">日〜</t>
    </r>
  </si>
  <si>
    <r>
      <rPr>
        <b val="true"/>
        <sz val="11"/>
        <color rgb="FFFFFFFF"/>
        <rFont val="Arial"/>
        <family val="0"/>
        <charset val="1"/>
      </rPr>
      <t xml:space="preserve">B 6</t>
    </r>
    <r>
      <rPr>
        <b val="true"/>
        <sz val="11"/>
        <color rgb="FFFFFFFF"/>
        <rFont val="Noto Sans CJK SC"/>
        <family val="2"/>
      </rPr>
      <t xml:space="preserve">日〜</t>
    </r>
  </si>
  <si>
    <t xml:space="preserve">休</t>
  </si>
  <si>
    <t xml:space="preserve">曜日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</si>
  <si>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</si>
  <si>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</si>
  <si>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</si>
  <si>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</si>
  <si>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</si>
  <si>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</si>
  <si>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月</t>
  </si>
  <si>
    <t xml:space="preserve">阿部菜月</t>
  </si>
  <si>
    <t xml:space="preserve">A</t>
  </si>
  <si>
    <t xml:space="preserve">B</t>
  </si>
  <si>
    <t xml:space="preserve">大西多香子</t>
  </si>
  <si>
    <t xml:space="preserve">横森華香</t>
  </si>
  <si>
    <t xml:space="preserve">田中美緒</t>
  </si>
  <si>
    <t xml:space="preserve">石井楓香</t>
  </si>
  <si>
    <t xml:space="preserve">森田萌花</t>
  </si>
  <si>
    <t xml:space="preserve">坂本百合香</t>
  </si>
  <si>
    <t xml:space="preserve">天野心美</t>
  </si>
  <si>
    <t xml:space="preserve">森田ゆかり</t>
  </si>
  <si>
    <t xml:space="preserve">出勤人数</t>
  </si>
  <si>
    <r>
      <rPr>
        <sz val="9"/>
        <rFont val="Noto Sans CJK SC"/>
        <family val="2"/>
      </rPr>
      <t xml:space="preserve">　</t>
    </r>
    <r>
      <rPr>
        <sz val="9"/>
        <rFont val="Arial"/>
        <family val="0"/>
        <charset val="1"/>
      </rPr>
      <t xml:space="preserve">A </t>
    </r>
    <r>
      <rPr>
        <sz val="9"/>
        <rFont val="Noto Sans CJK SC"/>
        <family val="2"/>
      </rPr>
      <t xml:space="preserve">早番</t>
    </r>
  </si>
  <si>
    <r>
      <rPr>
        <sz val="9"/>
        <rFont val="Noto Sans CJK SC"/>
        <family val="2"/>
      </rPr>
      <t xml:space="preserve">　</t>
    </r>
    <r>
      <rPr>
        <sz val="9"/>
        <rFont val="Arial"/>
        <family val="0"/>
        <charset val="1"/>
      </rPr>
      <t xml:space="preserve">B </t>
    </r>
    <r>
      <rPr>
        <sz val="9"/>
        <rFont val="Noto Sans CJK SC"/>
        <family val="2"/>
      </rPr>
      <t xml:space="preserve">遅番</t>
    </r>
  </si>
  <si>
    <r>
      <rPr>
        <b val="true"/>
        <sz val="10"/>
        <rFont val="Arial"/>
        <family val="0"/>
        <charset val="1"/>
      </rPr>
      <t xml:space="preserve">9/1</t>
    </r>
    <r>
      <rPr>
        <b val="true"/>
        <sz val="10"/>
        <rFont val="Noto Sans CJK SC"/>
        <family val="2"/>
      </rPr>
      <t xml:space="preserve">　</t>
    </r>
    <r>
      <rPr>
        <b val="true"/>
        <sz val="10"/>
        <rFont val="Arial"/>
        <family val="0"/>
        <charset val="1"/>
      </rPr>
      <t xml:space="preserve">10:00–18:00</t>
    </r>
    <r>
      <rPr>
        <b val="true"/>
        <sz val="10"/>
        <rFont val="Noto Sans CJK SC"/>
        <family val="2"/>
      </rPr>
      <t xml:space="preserve">　入社式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</si>
  <si>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日　出勤者全員が遅番（</t>
    </r>
    <r>
      <rPr>
        <b val="true"/>
        <sz val="10"/>
        <rFont val="Arial"/>
        <family val="0"/>
        <charset val="1"/>
      </rPr>
      <t xml:space="preserve">12:00–21:00</t>
    </r>
    <r>
      <rPr>
        <b val="true"/>
        <sz val="10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</si>
</sst>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9"/>
      <color rgb="FF404040"/>
      <name val="Arial"/>
      <family val="0"/>
      <charset val="1"/>
    </font>
    <font>
      <sz val="9"/>
      <color rgb="FF40404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Noto Sans CJK SC"/>
      <family val="2"/>
    </font>
    <font>
      <b val="true"/>
      <sz val="10"/>
      <name val="Noto Sans CJK SC"/>
      <family val="2"/>
    </font>
    <font>
      <b val="true"/>
      <sz val="11"/>
      <color rgb="FF000000"/>
      <name val="Arial"/>
      <family val="0"/>
      <charset val="1"/>
    </font>
    <font>
      <sz val="11"/>
      <color rgb="FF808080"/>
      <name val="Noto Sans CJK SC"/>
      <family val="2"/>
    </font>
    <font>
      <sz val="10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1F1F"/>
        <bgColor rgb="FF003300"/>
      </patternFill>
    </fill>
    <fill>
      <patternFill patternType="solid">
        <fgColor rgb="FFFFF7E6"/>
        <bgColor rgb="FFF2F2F2"/>
      </patternFill>
    </fill>
    <fill>
      <patternFill patternType="solid">
        <fgColor rgb="FFDDEBF7"/>
        <bgColor rgb="FFDCE6F1"/>
      </patternFill>
    </fill>
    <fill>
      <patternFill patternType="solid">
        <fgColor rgb="FFFCE4E4"/>
        <bgColor rgb="FFF3E7C9"/>
      </patternFill>
    </fill>
    <fill>
      <patternFill patternType="solid">
        <fgColor rgb="FFF3E7C9"/>
        <bgColor rgb="FFFCE4E4"/>
      </patternFill>
    </fill>
    <fill>
      <patternFill patternType="solid">
        <fgColor rgb="FFDCE6F1"/>
        <bgColor rgb="FFDDEBF7"/>
      </patternFill>
    </fill>
    <fill>
      <patternFill patternType="solid">
        <fgColor rgb="FFF2F2F2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3E7C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6" min="2" style="0" width="4.2"/>
    <col collapsed="false" customWidth="true" hidden="false" outlineLevel="0" max="19" min="17" style="0" width="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4" t="s">
        <v>3</v>
      </c>
      <c r="R4" s="4" t="s">
        <v>4</v>
      </c>
      <c r="S4" s="3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6" t="s">
        <v>11</v>
      </c>
      <c r="G5" s="7" t="s">
        <v>12</v>
      </c>
      <c r="H5" s="5" t="s">
        <v>13</v>
      </c>
      <c r="I5" s="5" t="s">
        <v>7</v>
      </c>
      <c r="J5" s="5" t="s">
        <v>8</v>
      </c>
      <c r="K5" s="5" t="s">
        <v>9</v>
      </c>
      <c r="L5" s="5" t="s">
        <v>10</v>
      </c>
      <c r="M5" s="6" t="s">
        <v>11</v>
      </c>
      <c r="N5" s="7" t="s">
        <v>12</v>
      </c>
      <c r="O5" s="5" t="s">
        <v>13</v>
      </c>
      <c r="P5" s="5" t="s">
        <v>7</v>
      </c>
      <c r="Q5" s="8"/>
      <c r="R5" s="8"/>
      <c r="S5" s="8"/>
    </row>
    <row r="6" customFormat="false" ht="21.75" hidden="false" customHeight="true" outlineLevel="0" collapsed="false">
      <c r="A6" s="9" t="s">
        <v>14</v>
      </c>
      <c r="B6" s="10" t="s">
        <v>15</v>
      </c>
      <c r="C6" s="11" t="s">
        <v>16</v>
      </c>
      <c r="D6" s="12" t="s">
        <v>5</v>
      </c>
      <c r="E6" s="11" t="s">
        <v>16</v>
      </c>
      <c r="F6" s="11" t="s">
        <v>16</v>
      </c>
      <c r="G6" s="10" t="s">
        <v>15</v>
      </c>
      <c r="H6" s="11" t="s">
        <v>16</v>
      </c>
      <c r="I6" s="12" t="s">
        <v>5</v>
      </c>
      <c r="J6" s="11" t="s">
        <v>16</v>
      </c>
      <c r="K6" s="11" t="s">
        <v>16</v>
      </c>
      <c r="L6" s="11" t="s">
        <v>16</v>
      </c>
      <c r="M6" s="12" t="s">
        <v>5</v>
      </c>
      <c r="N6" s="10" t="s">
        <v>15</v>
      </c>
      <c r="O6" s="12" t="s">
        <v>5</v>
      </c>
      <c r="P6" s="10" t="s">
        <v>15</v>
      </c>
      <c r="Q6" s="13" t="n">
        <f aca="false">COUNTIF($G6:$P6,"A")</f>
        <v>3</v>
      </c>
      <c r="R6" s="13" t="n">
        <f aca="false">COUNTIF($G6:$P6,"B")</f>
        <v>4</v>
      </c>
      <c r="S6" s="13" t="n">
        <f aca="false">COUNTIF($B6:$P6,"休")</f>
        <v>4</v>
      </c>
    </row>
    <row r="7" customFormat="false" ht="21.75" hidden="false" customHeight="true" outlineLevel="0" collapsed="false">
      <c r="A7" s="9" t="s">
        <v>17</v>
      </c>
      <c r="B7" s="10" t="s">
        <v>15</v>
      </c>
      <c r="C7" s="11" t="s">
        <v>16</v>
      </c>
      <c r="D7" s="11" t="s">
        <v>16</v>
      </c>
      <c r="E7" s="12" t="s">
        <v>5</v>
      </c>
      <c r="F7" s="11" t="s">
        <v>16</v>
      </c>
      <c r="G7" s="10" t="s">
        <v>15</v>
      </c>
      <c r="H7" s="10" t="s">
        <v>15</v>
      </c>
      <c r="I7" s="12" t="s">
        <v>5</v>
      </c>
      <c r="J7" s="10" t="s">
        <v>15</v>
      </c>
      <c r="K7" s="11" t="s">
        <v>16</v>
      </c>
      <c r="L7" s="12" t="s">
        <v>5</v>
      </c>
      <c r="M7" s="11" t="s">
        <v>16</v>
      </c>
      <c r="N7" s="11" t="s">
        <v>16</v>
      </c>
      <c r="O7" s="12" t="s">
        <v>5</v>
      </c>
      <c r="P7" s="11" t="s">
        <v>16</v>
      </c>
      <c r="Q7" s="13" t="n">
        <f aca="false">COUNTIF($G7:$P7,"A")</f>
        <v>3</v>
      </c>
      <c r="R7" s="13" t="n">
        <f aca="false">COUNTIF($G7:$P7,"B")</f>
        <v>4</v>
      </c>
      <c r="S7" s="13" t="n">
        <f aca="false">COUNTIF($B7:$P7,"休")</f>
        <v>4</v>
      </c>
    </row>
    <row r="8" customFormat="false" ht="21.75" hidden="false" customHeight="true" outlineLevel="0" collapsed="false">
      <c r="A8" s="9" t="s">
        <v>18</v>
      </c>
      <c r="B8" s="10" t="s">
        <v>15</v>
      </c>
      <c r="C8" s="12" t="s">
        <v>5</v>
      </c>
      <c r="D8" s="11" t="s">
        <v>16</v>
      </c>
      <c r="E8" s="11" t="s">
        <v>16</v>
      </c>
      <c r="F8" s="11" t="s">
        <v>16</v>
      </c>
      <c r="G8" s="12" t="s">
        <v>5</v>
      </c>
      <c r="H8" s="11" t="s">
        <v>16</v>
      </c>
      <c r="I8" s="11" t="s">
        <v>16</v>
      </c>
      <c r="J8" s="11" t="s">
        <v>16</v>
      </c>
      <c r="K8" s="12" t="s">
        <v>5</v>
      </c>
      <c r="L8" s="10" t="s">
        <v>15</v>
      </c>
      <c r="M8" s="10" t="s">
        <v>15</v>
      </c>
      <c r="N8" s="10" t="s">
        <v>15</v>
      </c>
      <c r="O8" s="12" t="s">
        <v>5</v>
      </c>
      <c r="P8" s="10" t="s">
        <v>15</v>
      </c>
      <c r="Q8" s="13" t="n">
        <f aca="false">COUNTIF($G8:$P8,"A")</f>
        <v>4</v>
      </c>
      <c r="R8" s="13" t="n">
        <f aca="false">COUNTIF($G8:$P8,"B")</f>
        <v>3</v>
      </c>
      <c r="S8" s="13" t="n">
        <f aca="false">COUNTIF($B8:$P8,"休")</f>
        <v>4</v>
      </c>
    </row>
    <row r="9" customFormat="false" ht="21.75" hidden="false" customHeight="true" outlineLevel="0" collapsed="false">
      <c r="A9" s="9" t="s">
        <v>19</v>
      </c>
      <c r="B9" s="10" t="s">
        <v>15</v>
      </c>
      <c r="C9" s="12" t="s">
        <v>5</v>
      </c>
      <c r="D9" s="11" t="s">
        <v>16</v>
      </c>
      <c r="E9" s="11" t="s">
        <v>16</v>
      </c>
      <c r="F9" s="11" t="s">
        <v>16</v>
      </c>
      <c r="G9" s="12" t="s">
        <v>5</v>
      </c>
      <c r="H9" s="11" t="s">
        <v>16</v>
      </c>
      <c r="I9" s="11" t="s">
        <v>16</v>
      </c>
      <c r="J9" s="12" t="s">
        <v>5</v>
      </c>
      <c r="K9" s="10" t="s">
        <v>15</v>
      </c>
      <c r="L9" s="10" t="s">
        <v>15</v>
      </c>
      <c r="M9" s="10" t="s">
        <v>15</v>
      </c>
      <c r="N9" s="12" t="s">
        <v>5</v>
      </c>
      <c r="O9" s="11" t="s">
        <v>16</v>
      </c>
      <c r="P9" s="11" t="s">
        <v>16</v>
      </c>
      <c r="Q9" s="13" t="n">
        <f aca="false">COUNTIF($G9:$P9,"A")</f>
        <v>3</v>
      </c>
      <c r="R9" s="13" t="n">
        <f aca="false">COUNTIF($G9:$P9,"B")</f>
        <v>4</v>
      </c>
      <c r="S9" s="13" t="n">
        <f aca="false">COUNTIF($B9:$P9,"休")</f>
        <v>4</v>
      </c>
    </row>
    <row r="10" customFormat="false" ht="21.75" hidden="false" customHeight="true" outlineLevel="0" collapsed="false">
      <c r="A10" s="9" t="s">
        <v>20</v>
      </c>
      <c r="B10" s="10" t="s">
        <v>15</v>
      </c>
      <c r="C10" s="11" t="s">
        <v>16</v>
      </c>
      <c r="D10" s="11" t="s">
        <v>16</v>
      </c>
      <c r="E10" s="12" t="s">
        <v>5</v>
      </c>
      <c r="F10" s="11" t="s">
        <v>16</v>
      </c>
      <c r="G10" s="10" t="s">
        <v>15</v>
      </c>
      <c r="H10" s="12" t="s">
        <v>5</v>
      </c>
      <c r="I10" s="10" t="s">
        <v>15</v>
      </c>
      <c r="J10" s="10" t="s">
        <v>15</v>
      </c>
      <c r="K10" s="12" t="s">
        <v>5</v>
      </c>
      <c r="L10" s="11" t="s">
        <v>16</v>
      </c>
      <c r="M10" s="11" t="s">
        <v>16</v>
      </c>
      <c r="N10" s="12" t="s">
        <v>5</v>
      </c>
      <c r="O10" s="11" t="s">
        <v>16</v>
      </c>
      <c r="P10" s="11" t="s">
        <v>16</v>
      </c>
      <c r="Q10" s="13" t="n">
        <f aca="false">COUNTIF($G10:$P10,"A")</f>
        <v>3</v>
      </c>
      <c r="R10" s="13" t="n">
        <f aca="false">COUNTIF($G10:$P10,"B")</f>
        <v>4</v>
      </c>
      <c r="S10" s="13" t="n">
        <f aca="false">COUNTIF($B10:$P10,"休")</f>
        <v>4</v>
      </c>
    </row>
    <row r="11" customFormat="false" ht="21.75" hidden="false" customHeight="true" outlineLevel="0" collapsed="false">
      <c r="A11" s="9" t="s">
        <v>21</v>
      </c>
      <c r="B11" s="10" t="s">
        <v>15</v>
      </c>
      <c r="C11" s="11" t="s">
        <v>16</v>
      </c>
      <c r="D11" s="11" t="s">
        <v>16</v>
      </c>
      <c r="E11" s="12" t="s">
        <v>5</v>
      </c>
      <c r="F11" s="11" t="s">
        <v>16</v>
      </c>
      <c r="G11" s="10" t="s">
        <v>15</v>
      </c>
      <c r="H11" s="10" t="s">
        <v>15</v>
      </c>
      <c r="I11" s="12" t="s">
        <v>5</v>
      </c>
      <c r="J11" s="10" t="s">
        <v>15</v>
      </c>
      <c r="K11" s="10" t="s">
        <v>15</v>
      </c>
      <c r="L11" s="11" t="s">
        <v>16</v>
      </c>
      <c r="M11" s="12" t="s">
        <v>5</v>
      </c>
      <c r="N11" s="11" t="s">
        <v>16</v>
      </c>
      <c r="O11" s="11" t="s">
        <v>16</v>
      </c>
      <c r="P11" s="12" t="s">
        <v>5</v>
      </c>
      <c r="Q11" s="13" t="n">
        <f aca="false">COUNTIF($G11:$P11,"A")</f>
        <v>4</v>
      </c>
      <c r="R11" s="13" t="n">
        <f aca="false">COUNTIF($G11:$P11,"B")</f>
        <v>3</v>
      </c>
      <c r="S11" s="13" t="n">
        <f aca="false">COUNTIF($B11:$P11,"休")</f>
        <v>4</v>
      </c>
    </row>
    <row r="12" customFormat="false" ht="21.75" hidden="false" customHeight="true" outlineLevel="0" collapsed="false">
      <c r="A12" s="9" t="s">
        <v>22</v>
      </c>
      <c r="B12" s="10" t="s">
        <v>15</v>
      </c>
      <c r="C12" s="12" t="s">
        <v>5</v>
      </c>
      <c r="D12" s="11" t="s">
        <v>16</v>
      </c>
      <c r="E12" s="11" t="s">
        <v>16</v>
      </c>
      <c r="F12" s="11" t="s">
        <v>16</v>
      </c>
      <c r="G12" s="11" t="s">
        <v>16</v>
      </c>
      <c r="H12" s="12" t="s">
        <v>5</v>
      </c>
      <c r="I12" s="10" t="s">
        <v>15</v>
      </c>
      <c r="J12" s="11" t="s">
        <v>16</v>
      </c>
      <c r="K12" s="11" t="s">
        <v>16</v>
      </c>
      <c r="L12" s="11" t="s">
        <v>16</v>
      </c>
      <c r="M12" s="12" t="s">
        <v>5</v>
      </c>
      <c r="N12" s="10" t="s">
        <v>15</v>
      </c>
      <c r="O12" s="10" t="s">
        <v>15</v>
      </c>
      <c r="P12" s="12" t="s">
        <v>5</v>
      </c>
      <c r="Q12" s="13" t="n">
        <f aca="false">COUNTIF($G12:$P12,"A")</f>
        <v>3</v>
      </c>
      <c r="R12" s="13" t="n">
        <f aca="false">COUNTIF($G12:$P12,"B")</f>
        <v>4</v>
      </c>
      <c r="S12" s="13" t="n">
        <f aca="false">COUNTIF($B12:$P12,"休")</f>
        <v>4</v>
      </c>
    </row>
    <row r="13" customFormat="false" ht="21.75" hidden="false" customHeight="true" outlineLevel="0" collapsed="false">
      <c r="A13" s="9" t="s">
        <v>23</v>
      </c>
      <c r="B13" s="10" t="s">
        <v>15</v>
      </c>
      <c r="C13" s="11" t="s">
        <v>16</v>
      </c>
      <c r="D13" s="12" t="s">
        <v>5</v>
      </c>
      <c r="E13" s="11" t="s">
        <v>16</v>
      </c>
      <c r="F13" s="11" t="s">
        <v>16</v>
      </c>
      <c r="G13" s="11" t="s">
        <v>16</v>
      </c>
      <c r="H13" s="12" t="s">
        <v>5</v>
      </c>
      <c r="I13" s="11" t="s">
        <v>16</v>
      </c>
      <c r="J13" s="11" t="s">
        <v>16</v>
      </c>
      <c r="K13" s="11" t="s">
        <v>16</v>
      </c>
      <c r="L13" s="12" t="s">
        <v>5</v>
      </c>
      <c r="M13" s="10" t="s">
        <v>15</v>
      </c>
      <c r="N13" s="10" t="s">
        <v>15</v>
      </c>
      <c r="O13" s="10" t="s">
        <v>15</v>
      </c>
      <c r="P13" s="12" t="s">
        <v>5</v>
      </c>
      <c r="Q13" s="13" t="n">
        <f aca="false">COUNTIF($G13:$P13,"A")</f>
        <v>3</v>
      </c>
      <c r="R13" s="13" t="n">
        <f aca="false">COUNTIF($G13:$P13,"B")</f>
        <v>4</v>
      </c>
      <c r="S13" s="13" t="n">
        <f aca="false">COUNTIF($B13:$P13,"休")</f>
        <v>4</v>
      </c>
    </row>
    <row r="14" customFormat="false" ht="21.75" hidden="false" customHeight="true" outlineLevel="0" collapsed="false">
      <c r="A14" s="9" t="s">
        <v>24</v>
      </c>
      <c r="B14" s="10" t="s">
        <v>15</v>
      </c>
      <c r="C14" s="11" t="s">
        <v>16</v>
      </c>
      <c r="D14" s="12" t="s">
        <v>5</v>
      </c>
      <c r="E14" s="11" t="s">
        <v>16</v>
      </c>
      <c r="F14" s="11" t="s">
        <v>16</v>
      </c>
      <c r="G14" s="12" t="s">
        <v>5</v>
      </c>
      <c r="H14" s="11" t="s">
        <v>16</v>
      </c>
      <c r="I14" s="11" t="s">
        <v>16</v>
      </c>
      <c r="J14" s="12" t="s">
        <v>5</v>
      </c>
      <c r="K14" s="10" t="s">
        <v>15</v>
      </c>
      <c r="L14" s="10" t="s">
        <v>15</v>
      </c>
      <c r="M14" s="10" t="s">
        <v>15</v>
      </c>
      <c r="N14" s="12" t="s">
        <v>5</v>
      </c>
      <c r="O14" s="11" t="s">
        <v>16</v>
      </c>
      <c r="P14" s="11" t="s">
        <v>16</v>
      </c>
      <c r="Q14" s="13" t="n">
        <f aca="false">COUNTIF($G14:$P14,"A")</f>
        <v>3</v>
      </c>
      <c r="R14" s="13" t="n">
        <f aca="false">COUNTIF($G14:$P14,"B")</f>
        <v>4</v>
      </c>
      <c r="S14" s="13" t="n">
        <f aca="false">COUNTIF($B14:$P14,"休")</f>
        <v>4</v>
      </c>
    </row>
    <row r="15" customFormat="false" ht="15" hidden="false" customHeight="false" outlineLevel="0" collapsed="false">
      <c r="A15" s="14" t="s">
        <v>25</v>
      </c>
      <c r="B15" s="5" t="n">
        <f aca="false">COUNTIF(B$6:B$14,"A")+COUNTIF(B$6:B$14,"B")+COUNTIF(B$6:B$14,"式")</f>
        <v>9</v>
      </c>
      <c r="C15" s="5" t="n">
        <f aca="false">COUNTIF(C$6:C$14,"A")+COUNTIF(C$6:C$14,"B")+COUNTIF(C$6:C$14,"式")</f>
        <v>6</v>
      </c>
      <c r="D15" s="5" t="n">
        <f aca="false">COUNTIF(D$6:D$14,"A")+COUNTIF(D$6:D$14,"B")+COUNTIF(D$6:D$14,"式")</f>
        <v>6</v>
      </c>
      <c r="E15" s="5" t="n">
        <f aca="false">COUNTIF(E$6:E$14,"A")+COUNTIF(E$6:E$14,"B")+COUNTIF(E$6:E$14,"式")</f>
        <v>6</v>
      </c>
      <c r="F15" s="5" t="n">
        <f aca="false">COUNTIF(F$6:F$14,"A")+COUNTIF(F$6:F$14,"B")+COUNTIF(F$6:F$14,"式")</f>
        <v>9</v>
      </c>
      <c r="G15" s="5" t="n">
        <f aca="false">COUNTIF(G$6:G$14,"A")+COUNTIF(G$6:G$14,"B")+COUNTIF(G$6:G$14,"式")</f>
        <v>6</v>
      </c>
      <c r="H15" s="5" t="n">
        <f aca="false">COUNTIF(H$6:H$14,"A")+COUNTIF(H$6:H$14,"B")+COUNTIF(H$6:H$14,"式")</f>
        <v>6</v>
      </c>
      <c r="I15" s="5" t="n">
        <f aca="false">COUNTIF(I$6:I$14,"A")+COUNTIF(I$6:I$14,"B")+COUNTIF(I$6:I$14,"式")</f>
        <v>6</v>
      </c>
      <c r="J15" s="5" t="n">
        <f aca="false">COUNTIF(J$6:J$14,"A")+COUNTIF(J$6:J$14,"B")+COUNTIF(J$6:J$14,"式")</f>
        <v>7</v>
      </c>
      <c r="K15" s="5" t="n">
        <f aca="false">COUNTIF(K$6:K$14,"A")+COUNTIF(K$6:K$14,"B")+COUNTIF(K$6:K$14,"式")</f>
        <v>7</v>
      </c>
      <c r="L15" s="5" t="n">
        <f aca="false">COUNTIF(L$6:L$14,"A")+COUNTIF(L$6:L$14,"B")+COUNTIF(L$6:L$14,"式")</f>
        <v>7</v>
      </c>
      <c r="M15" s="5" t="n">
        <f aca="false">COUNTIF(M$6:M$14,"A")+COUNTIF(M$6:M$14,"B")+COUNTIF(M$6:M$14,"式")</f>
        <v>6</v>
      </c>
      <c r="N15" s="5" t="n">
        <f aca="false">COUNTIF(N$6:N$14,"A")+COUNTIF(N$6:N$14,"B")+COUNTIF(N$6:N$14,"式")</f>
        <v>6</v>
      </c>
      <c r="O15" s="5" t="n">
        <f aca="false">COUNTIF(O$6:O$14,"A")+COUNTIF(O$6:O$14,"B")+COUNTIF(O$6:O$14,"式")</f>
        <v>6</v>
      </c>
      <c r="P15" s="5" t="n">
        <f aca="false">COUNTIF(P$6:P$14,"A")+COUNTIF(P$6:P$14,"B")+COUNTIF(P$6:P$14,"式")</f>
        <v>6</v>
      </c>
    </row>
    <row r="16" customFormat="false" ht="15" hidden="false" customHeight="false" outlineLevel="0" collapsed="false">
      <c r="A16" s="15" t="s">
        <v>26</v>
      </c>
      <c r="B16" s="16" t="n">
        <f aca="false">COUNTIF(B$6:B$14,"A")</f>
        <v>9</v>
      </c>
      <c r="C16" s="16" t="n">
        <f aca="false">COUNTIF(C$6:C$14,"A")</f>
        <v>0</v>
      </c>
      <c r="D16" s="16" t="n">
        <f aca="false">COUNTIF(D$6:D$14,"A")</f>
        <v>0</v>
      </c>
      <c r="E16" s="16" t="n">
        <f aca="false">COUNTIF(E$6:E$14,"A")</f>
        <v>0</v>
      </c>
      <c r="F16" s="16" t="n">
        <f aca="false">COUNTIF(F$6:F$14,"A")</f>
        <v>0</v>
      </c>
      <c r="G16" s="16" t="n">
        <f aca="false">COUNTIF(G$6:G$14,"A")</f>
        <v>4</v>
      </c>
      <c r="H16" s="16" t="n">
        <f aca="false">COUNTIF(H$6:H$14,"A")</f>
        <v>2</v>
      </c>
      <c r="I16" s="16" t="n">
        <f aca="false">COUNTIF(I$6:I$14,"A")</f>
        <v>2</v>
      </c>
      <c r="J16" s="16" t="n">
        <f aca="false">COUNTIF(J$6:J$14,"A")</f>
        <v>3</v>
      </c>
      <c r="K16" s="16" t="n">
        <f aca="false">COUNTIF(K$6:K$14,"A")</f>
        <v>3</v>
      </c>
      <c r="L16" s="16" t="n">
        <f aca="false">COUNTIF(L$6:L$14,"A")</f>
        <v>3</v>
      </c>
      <c r="M16" s="16" t="n">
        <f aca="false">COUNTIF(M$6:M$14,"A")</f>
        <v>4</v>
      </c>
      <c r="N16" s="16" t="n">
        <f aca="false">COUNTIF(N$6:N$14,"A")</f>
        <v>4</v>
      </c>
      <c r="O16" s="16" t="n">
        <f aca="false">COUNTIF(O$6:O$14,"A")</f>
        <v>2</v>
      </c>
      <c r="P16" s="16" t="n">
        <f aca="false">COUNTIF(P$6:P$14,"A")</f>
        <v>2</v>
      </c>
    </row>
    <row r="17" customFormat="false" ht="15" hidden="false" customHeight="false" outlineLevel="0" collapsed="false">
      <c r="A17" s="15" t="s">
        <v>27</v>
      </c>
      <c r="B17" s="16" t="n">
        <f aca="false">COUNTIF(B$6:B$14,"B")</f>
        <v>0</v>
      </c>
      <c r="C17" s="16" t="n">
        <f aca="false">COUNTIF(C$6:C$14,"B")</f>
        <v>6</v>
      </c>
      <c r="D17" s="16" t="n">
        <f aca="false">COUNTIF(D$6:D$14,"B")</f>
        <v>6</v>
      </c>
      <c r="E17" s="16" t="n">
        <f aca="false">COUNTIF(E$6:E$14,"B")</f>
        <v>6</v>
      </c>
      <c r="F17" s="16" t="n">
        <f aca="false">COUNTIF(F$6:F$14,"B")</f>
        <v>9</v>
      </c>
      <c r="G17" s="16" t="n">
        <f aca="false">COUNTIF(G$6:G$14,"B")</f>
        <v>2</v>
      </c>
      <c r="H17" s="16" t="n">
        <f aca="false">COUNTIF(H$6:H$14,"B")</f>
        <v>4</v>
      </c>
      <c r="I17" s="16" t="n">
        <f aca="false">COUNTIF(I$6:I$14,"B")</f>
        <v>4</v>
      </c>
      <c r="J17" s="16" t="n">
        <f aca="false">COUNTIF(J$6:J$14,"B")</f>
        <v>4</v>
      </c>
      <c r="K17" s="16" t="n">
        <f aca="false">COUNTIF(K$6:K$14,"B")</f>
        <v>4</v>
      </c>
      <c r="L17" s="16" t="n">
        <f aca="false">COUNTIF(L$6:L$14,"B")</f>
        <v>4</v>
      </c>
      <c r="M17" s="16" t="n">
        <f aca="false">COUNTIF(M$6:M$14,"B")</f>
        <v>2</v>
      </c>
      <c r="N17" s="16" t="n">
        <f aca="false">COUNTIF(N$6:N$14,"B")</f>
        <v>2</v>
      </c>
      <c r="O17" s="16" t="n">
        <f aca="false">COUNTIF(O$6:O$14,"B")</f>
        <v>4</v>
      </c>
      <c r="P17" s="16" t="n">
        <f aca="false">COUNTIF(P$6:P$14,"B")</f>
        <v>4</v>
      </c>
    </row>
    <row r="19" customFormat="false" ht="15" hidden="false" customHeight="false" outlineLevel="0" collapsed="false">
      <c r="A19" s="17" t="s">
        <v>28</v>
      </c>
    </row>
    <row r="20" customFormat="false" ht="15" hidden="false" customHeight="false" outlineLevel="0" collapsed="false">
      <c r="A20" s="1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2026-08-27T09:44:33Z</dcterms:created>
  <dc:creator>openpyxl</dc:creator>
  <dc:description/>
  <dc:language>en-US</dc:language>
  <cp:lastModifiedBy/>
  <dcterms:modified xsi:type="dcterms:W3CDTF">2026-08-27T09:44:33Z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